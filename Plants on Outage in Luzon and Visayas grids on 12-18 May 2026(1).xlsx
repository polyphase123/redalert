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energyregcomm.sharepoint.com/sites/GridComplianceSection/Shared Documents/ERC Resolution No. 04, Series of 2015/8. Grid Alert/Plants on Outage in Luzon and Visayas grids on 12-18 May 2026/"/>
    </mc:Choice>
  </mc:AlternateContent>
  <xr:revisionPtr revIDLastSave="0" documentId="8_{5B054359-A80B-46F1-B452-276A75434C40}" xr6:coauthVersionLast="47" xr6:coauthVersionMax="47" xr10:uidLastSave="{00000000-0000-0000-0000-000000000000}"/>
  <bookViews>
    <workbookView xWindow="-108" yWindow="-108" windowWidth="23256" windowHeight="12456" xr2:uid="{2448486F-9B7D-443A-A046-724989355B3E}"/>
  </bookViews>
  <sheets>
    <sheet name="Luzon Outage 12-17 May 2026" sheetId="2" r:id="rId1"/>
    <sheet name="Visayas Outage May 12-17, 2026" sheetId="3" r:id="rId2"/>
    <sheet name="Luzon Marginal Plants" sheetId="4" r:id="rId3"/>
    <sheet name="Visayas Marginal Plants" sheetId="5" r:id="rId4"/>
  </sheets>
  <definedNames>
    <definedName name="_xlnm._FilterDatabase" localSheetId="1" hidden="1">'Visayas Outage May 12-17, 2026'!$A$5:$AC$72</definedName>
    <definedName name="_xlnm._FilterDatabase" localSheetId="0" hidden="1">'Luzon Outage 12-17 May 2026'!$A$5:$Y$100</definedName>
    <definedName name="_xlnm.Print_Area" localSheetId="0">'Luzon Outage 12-17 May 2026'!$A$1:$W$101</definedName>
    <definedName name="_xlnm.Print_Area" localSheetId="1">'Visayas Outage May 12-17, 2026'!$A$1:$AC$72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86" i="2" l="1"/>
  <c r="L85" i="2"/>
  <c r="L84" i="2"/>
  <c r="L83" i="2"/>
  <c r="L82" i="2"/>
  <c r="L81" i="2"/>
  <c r="L80" i="2"/>
  <c r="L79" i="2"/>
  <c r="L78" i="2"/>
  <c r="L77" i="2"/>
  <c r="L76" i="2"/>
  <c r="L75" i="2"/>
  <c r="L74" i="2"/>
  <c r="L73" i="2"/>
  <c r="L72" i="2"/>
  <c r="L71" i="2"/>
  <c r="R38" i="3"/>
  <c r="R19" i="3"/>
  <c r="R16" i="3"/>
  <c r="R23" i="3"/>
  <c r="R25" i="3"/>
  <c r="R27" i="3"/>
  <c r="R50" i="3"/>
  <c r="R42" i="3"/>
  <c r="R35" i="3"/>
  <c r="R36" i="3"/>
  <c r="R31" i="3"/>
  <c r="L7" i="3"/>
  <c r="L8" i="3"/>
  <c r="L9" i="3"/>
  <c r="L12" i="3"/>
  <c r="L13" i="3"/>
  <c r="L16" i="3"/>
  <c r="L17" i="3"/>
  <c r="L18" i="3"/>
  <c r="L19" i="3"/>
  <c r="L20" i="3"/>
  <c r="L21" i="3"/>
  <c r="L22" i="3"/>
  <c r="L23" i="3"/>
  <c r="L24" i="3"/>
  <c r="L25" i="3"/>
  <c r="L26" i="3"/>
  <c r="L27" i="3"/>
  <c r="L28" i="3"/>
  <c r="L29" i="3"/>
  <c r="L30" i="3"/>
  <c r="L31" i="3"/>
  <c r="L33" i="3"/>
  <c r="L34" i="3"/>
  <c r="L35" i="3"/>
  <c r="L36" i="3"/>
  <c r="L37" i="3"/>
  <c r="L38" i="3"/>
  <c r="L39" i="3"/>
  <c r="L40" i="3"/>
  <c r="L41" i="3"/>
  <c r="L42" i="3"/>
  <c r="L43" i="3"/>
  <c r="L44" i="3"/>
  <c r="L46" i="3"/>
  <c r="L47" i="3"/>
  <c r="L48" i="3"/>
  <c r="L49" i="3"/>
  <c r="L52" i="3"/>
  <c r="L54" i="3"/>
  <c r="L6" i="3"/>
  <c r="R62" i="2"/>
  <c r="L70" i="2"/>
  <c r="L9" i="2"/>
  <c r="L10" i="2"/>
  <c r="L11" i="2"/>
  <c r="L12" i="2"/>
  <c r="L13" i="2"/>
  <c r="L14" i="2"/>
  <c r="L16" i="2"/>
  <c r="L17" i="2"/>
  <c r="L18" i="2"/>
  <c r="L19" i="2"/>
  <c r="L22" i="2"/>
  <c r="L23" i="2"/>
  <c r="L24" i="2"/>
  <c r="L27" i="2"/>
  <c r="L28" i="2"/>
  <c r="L29" i="2"/>
  <c r="L30" i="2"/>
  <c r="L31" i="2"/>
  <c r="L32" i="2"/>
  <c r="L33"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 i="2"/>
  <c r="Q51" i="3"/>
  <c r="R51" i="3" s="1"/>
  <c r="Q12" i="3"/>
  <c r="R12" i="3" s="1"/>
  <c r="Q52" i="3"/>
  <c r="R52" i="3" s="1"/>
  <c r="Q33" i="3"/>
  <c r="R33" i="3" s="1"/>
  <c r="R46" i="3"/>
  <c r="Q46" i="3"/>
  <c r="Q15" i="3"/>
  <c r="R15" i="3" s="1"/>
  <c r="Q41" i="3"/>
  <c r="R41" i="3" s="1"/>
  <c r="Q40" i="3"/>
  <c r="R40" i="3" s="1"/>
  <c r="R30" i="3"/>
  <c r="R68" i="3"/>
  <c r="R14" i="3"/>
  <c r="R21" i="3"/>
  <c r="Q24" i="3"/>
  <c r="R24" i="3" s="1"/>
  <c r="Q47" i="3"/>
  <c r="R47" i="3" s="1"/>
  <c r="Q7" i="3"/>
  <c r="R7" i="3" s="1"/>
  <c r="R44" i="3"/>
  <c r="R13" i="3"/>
  <c r="R22" i="3"/>
  <c r="R28" i="3"/>
  <c r="R34" i="3"/>
  <c r="R67" i="3"/>
  <c r="R92" i="2"/>
  <c r="R85" i="2"/>
  <c r="R28" i="2"/>
  <c r="R66" i="3"/>
  <c r="R65" i="3"/>
  <c r="R64" i="3"/>
  <c r="R63" i="3"/>
  <c r="R60" i="3"/>
  <c r="R59" i="3"/>
  <c r="R57" i="3"/>
  <c r="R56" i="3"/>
  <c r="R55" i="3"/>
  <c r="R54" i="3"/>
  <c r="R39" i="3"/>
  <c r="R67" i="2"/>
  <c r="R68" i="2"/>
  <c r="R69" i="2"/>
  <c r="R50" i="2"/>
  <c r="R47" i="2"/>
  <c r="R8" i="3"/>
  <c r="R91" i="2"/>
  <c r="R86" i="2"/>
  <c r="R18" i="2"/>
  <c r="R19" i="2"/>
  <c r="R53" i="2"/>
  <c r="R58" i="2"/>
  <c r="R57" i="2"/>
  <c r="R70" i="2"/>
  <c r="R63" i="2"/>
  <c r="R32" i="2"/>
  <c r="R10" i="2"/>
  <c r="R11" i="2"/>
  <c r="R12" i="2"/>
  <c r="R13" i="2"/>
  <c r="R15" i="2"/>
  <c r="R16" i="2"/>
  <c r="Q9" i="3"/>
  <c r="R9" i="3" s="1"/>
  <c r="R41" i="2"/>
  <c r="R35" i="2"/>
  <c r="R34" i="2"/>
  <c r="R33" i="2"/>
  <c r="R30" i="2"/>
  <c r="R27" i="2"/>
  <c r="R26" i="2"/>
  <c r="R22" i="2"/>
  <c r="R21" i="2"/>
  <c r="R20" i="2"/>
  <c r="R6" i="2"/>
  <c r="R99" i="2"/>
  <c r="Q6" i="3"/>
  <c r="R6" i="3" s="1"/>
  <c r="R94" i="2"/>
  <c r="R93" i="2"/>
  <c r="R64" i="2"/>
  <c r="R83" i="2"/>
  <c r="R31" i="2"/>
  <c r="R4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ERC IED GenCo</author>
    <author>Frank James</author>
    <author>Jean Rose E. Villagracia</author>
    <author>ENGR. JANRECK CRIBE</author>
    <author>ERC Outage Reports</author>
  </authors>
  <commentList>
    <comment ref="H6" authorId="0" shapeId="0" xr:uid="{2DD9BC80-C112-4536-B946-CF732A5AEBFE}">
      <text>
        <r>
          <rPr>
            <sz val="11"/>
            <color theme="1"/>
            <rFont val="Aptos Narrow"/>
            <family val="2"/>
            <scheme val="minor"/>
          </rPr>
          <t>ERC IED GenCo:
As per Ma'am Rowena of VSPGC</t>
        </r>
      </text>
    </comment>
    <comment ref="H15" authorId="0" shapeId="0" xr:uid="{A082567B-505D-4593-B45B-AB9279825319}">
      <text>
        <r>
          <rPr>
            <sz val="11"/>
            <color theme="1"/>
            <rFont val="Aptos Narrow"/>
            <family val="2"/>
            <scheme val="minor"/>
          </rPr>
          <t>As per Sir Willard Madarang</t>
        </r>
      </text>
    </comment>
    <comment ref="D61" authorId="1" shapeId="0" xr:uid="{2F270C64-7488-483A-B2FF-A04822673A5E}">
      <text>
        <r>
          <rPr>
            <b/>
            <sz val="9"/>
            <color indexed="81"/>
            <rFont val="Tahoma"/>
            <family val="2"/>
          </rPr>
          <t>Frank James:</t>
        </r>
        <r>
          <rPr>
            <sz val="9"/>
            <color indexed="81"/>
            <rFont val="Tahoma"/>
            <family val="2"/>
          </rPr>
          <t xml:space="preserve">
Not identified in the SIN</t>
        </r>
      </text>
    </comment>
    <comment ref="Q63" authorId="2" shapeId="0" xr:uid="{45AA3D50-63AF-4EE7-877D-D090B57B4E51}">
      <text>
        <r>
          <rPr>
            <sz val="11"/>
            <color theme="1"/>
            <rFont val="Aptos Narrow"/>
            <family val="2"/>
            <scheme val="minor"/>
          </rPr>
          <t>Jean Rose E. Villagracia:
As of 13 May 2026 (SER)</t>
        </r>
      </text>
    </comment>
    <comment ref="Q70" authorId="2" shapeId="0" xr:uid="{E4CA935F-E089-476F-955C-DB2DA532AABE}">
      <text>
        <r>
          <rPr>
            <sz val="11"/>
            <color theme="1"/>
            <rFont val="Aptos Narrow"/>
            <family val="2"/>
            <scheme val="minor"/>
          </rPr>
          <t>Jean Rose E. Villagracia:
As of 15 May 2026 (SER)</t>
        </r>
      </text>
    </comment>
    <comment ref="H91" authorId="3" shapeId="0" xr:uid="{87C32E7B-05AB-4E7D-ACBA-757A076D4A94}">
      <text>
        <r>
          <rPr>
            <b/>
            <sz val="9"/>
            <color indexed="81"/>
            <rFont val="Tahoma"/>
            <family val="2"/>
          </rPr>
          <t>ENGR. JANRECK CRIBE:</t>
        </r>
        <r>
          <rPr>
            <sz val="9"/>
            <color indexed="81"/>
            <rFont val="Tahoma"/>
            <family val="2"/>
          </rPr>
          <t xml:space="preserve">
Francis Francisco</t>
        </r>
      </text>
    </comment>
    <comment ref="H93" authorId="3" shapeId="0" xr:uid="{3DF2C86A-B167-4EF7-A7BA-E91C390D3830}">
      <text>
        <r>
          <rPr>
            <b/>
            <sz val="9"/>
            <color indexed="81"/>
            <rFont val="Tahoma"/>
            <family val="2"/>
          </rPr>
          <t>ENGR. JANRECK CRIBE:</t>
        </r>
        <r>
          <rPr>
            <sz val="9"/>
            <color indexed="81"/>
            <rFont val="Tahoma"/>
            <family val="2"/>
          </rPr>
          <t xml:space="preserve">
Charles Calisen
</t>
        </r>
      </text>
    </comment>
    <comment ref="H94" authorId="3" shapeId="0" xr:uid="{D342D822-21FF-4C75-BB5D-739C28FA0141}">
      <text>
        <r>
          <rPr>
            <b/>
            <sz val="9"/>
            <color indexed="81"/>
            <rFont val="Tahoma"/>
            <family val="2"/>
          </rPr>
          <t>ENGR. JANRECK CRIBE:</t>
        </r>
        <r>
          <rPr>
            <sz val="9"/>
            <color indexed="81"/>
            <rFont val="Tahoma"/>
            <family val="2"/>
          </rPr>
          <t xml:space="preserve">
Charles Calisen
</t>
        </r>
      </text>
    </comment>
    <comment ref="H95" authorId="3" shapeId="0" xr:uid="{CBDB52D7-2AD7-4B6F-8F95-03E8C9C89D2E}">
      <text>
        <r>
          <rPr>
            <b/>
            <sz val="9"/>
            <color indexed="81"/>
            <rFont val="Tahoma"/>
            <family val="2"/>
          </rPr>
          <t>ENGR. JANRECK CRIBE:</t>
        </r>
        <r>
          <rPr>
            <sz val="9"/>
            <color indexed="81"/>
            <rFont val="Tahoma"/>
            <family val="2"/>
          </rPr>
          <t xml:space="preserve">
Charles Calisen
</t>
        </r>
      </text>
    </comment>
    <comment ref="H96" authorId="3" shapeId="0" xr:uid="{243510DB-8160-4E02-8400-F604F81B3343}">
      <text>
        <r>
          <rPr>
            <b/>
            <sz val="9"/>
            <color indexed="81"/>
            <rFont val="Tahoma"/>
            <family val="2"/>
          </rPr>
          <t>ENGR. JANRECK CRIBE:</t>
        </r>
        <r>
          <rPr>
            <sz val="9"/>
            <color indexed="81"/>
            <rFont val="Tahoma"/>
            <family val="2"/>
          </rPr>
          <t xml:space="preserve">
Charles Calisen
</t>
        </r>
      </text>
    </comment>
    <comment ref="H97" authorId="3" shapeId="0" xr:uid="{03BD633B-9FAC-4A94-9DD0-42C9D0B456E4}">
      <text>
        <r>
          <rPr>
            <b/>
            <sz val="9"/>
            <color indexed="81"/>
            <rFont val="Tahoma"/>
            <family val="2"/>
          </rPr>
          <t>ENGR. JANRECK CRIBE:</t>
        </r>
        <r>
          <rPr>
            <sz val="9"/>
            <color indexed="81"/>
            <rFont val="Tahoma"/>
            <family val="2"/>
          </rPr>
          <t xml:space="preserve">
Charles Calisen
</t>
        </r>
      </text>
    </comment>
    <comment ref="C100" authorId="4" shapeId="0" xr:uid="{9E2D4064-1B1D-446B-B360-D1202E71CF30}">
      <text>
        <r>
          <rPr>
            <sz val="11"/>
            <color theme="1"/>
            <rFont val="Aptos Narrow"/>
            <family val="2"/>
            <scheme val="minor"/>
          </rPr>
          <t>ERC Outage Reports:
No letter for decommissioning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Rheena Bianca R. Villeno</author>
    <author>ERC IED GenCo</author>
    <author>Jean Rose E. Villagracia</author>
    <author>Frank James</author>
    <author>ENGR. JANRECK CRIBE</author>
  </authors>
  <commentList>
    <comment ref="Q12" authorId="0" shapeId="0" xr:uid="{81CDE946-65E4-45C1-9A56-EEE8005042A5}">
      <text>
        <r>
          <rPr>
            <sz val="11"/>
            <color theme="1"/>
            <rFont val="Aptos Narrow"/>
            <family val="2"/>
            <scheme val="minor"/>
          </rPr>
          <t>Rheena Bianca R. Villeno:
as of week 19</t>
        </r>
      </text>
    </comment>
    <comment ref="H14" authorId="1" shapeId="0" xr:uid="{E71A79CB-3477-4C6E-A6C3-ADC9691CA4B9}">
      <text>
        <r>
          <rPr>
            <sz val="11"/>
            <color theme="1"/>
            <rFont val="Aptos Narrow"/>
            <family val="2"/>
            <scheme val="minor"/>
          </rPr>
          <t>Justin Roxas
From OER PO</t>
        </r>
      </text>
    </comment>
    <comment ref="H15" authorId="1" shapeId="0" xr:uid="{3AFA63BB-DE13-48B7-96E4-BBA6461E9C2D}">
      <text>
        <r>
          <rPr>
            <sz val="11"/>
            <color theme="1"/>
            <rFont val="Aptos Narrow"/>
            <family val="2"/>
            <scheme val="minor"/>
          </rPr>
          <t>As per Sir Pastor</t>
        </r>
      </text>
    </comment>
    <comment ref="Q16" authorId="1" shapeId="0" xr:uid="{8DD7E565-B6AC-4BE0-8DF5-5C19D934D624}">
      <text>
        <r>
          <rPr>
            <sz val="11"/>
            <color theme="1"/>
            <rFont val="Aptos Narrow"/>
            <family val="2"/>
            <scheme val="minor"/>
          </rPr>
          <t xml:space="preserve">As of Week 19
</t>
        </r>
      </text>
    </comment>
    <comment ref="Q21" authorId="2" shapeId="0" xr:uid="{FF2D57BC-D0F0-4597-99D6-582715AF831C}">
      <text>
        <r>
          <rPr>
            <sz val="11"/>
            <color theme="1"/>
            <rFont val="Aptos Narrow"/>
            <family val="2"/>
            <scheme val="minor"/>
          </rPr>
          <t>Jean Rose E. Villagracia:
As of 10 May 2026</t>
        </r>
      </text>
    </comment>
    <comment ref="Q23" authorId="1" shapeId="0" xr:uid="{3820945C-4944-4070-A60F-6ABD848B2595}">
      <text>
        <r>
          <rPr>
            <sz val="11"/>
            <color theme="1"/>
            <rFont val="Aptos Narrow"/>
            <family val="2"/>
            <scheme val="minor"/>
          </rPr>
          <t xml:space="preserve">As of Week 19
</t>
        </r>
      </text>
    </comment>
    <comment ref="Q25" authorId="1" shapeId="0" xr:uid="{422E004B-3CF6-48A7-A0B0-051BB23EEC59}">
      <text>
        <r>
          <rPr>
            <sz val="11"/>
            <color theme="1"/>
            <rFont val="Aptos Narrow"/>
            <family val="2"/>
            <scheme val="minor"/>
          </rPr>
          <t>As of Week 19</t>
        </r>
      </text>
    </comment>
    <comment ref="Q31" authorId="1" shapeId="0" xr:uid="{8ECCD6E7-65E7-4900-8993-AD24A4F57E9B}">
      <text>
        <r>
          <rPr>
            <sz val="11"/>
            <color theme="1"/>
            <rFont val="Aptos Narrow"/>
            <family val="2"/>
            <scheme val="minor"/>
          </rPr>
          <t>As of Week 19</t>
        </r>
      </text>
    </comment>
    <comment ref="C33" authorId="3" shapeId="0" xr:uid="{92759BAC-74C9-48F7-856E-EEAFD6EEFFE8}">
      <text>
        <r>
          <rPr>
            <b/>
            <sz val="9"/>
            <color indexed="81"/>
            <rFont val="Tahoma"/>
            <family val="2"/>
          </rPr>
          <t>Frank James:</t>
        </r>
        <r>
          <rPr>
            <sz val="9"/>
            <color indexed="81"/>
            <rFont val="Tahoma"/>
            <family val="2"/>
          </rPr>
          <t xml:space="preserve">
Not included in the SIN</t>
        </r>
      </text>
    </comment>
    <comment ref="Q35" authorId="1" shapeId="0" xr:uid="{0E6E4694-9ABC-49E5-A48C-85953620C4C5}">
      <text>
        <r>
          <rPr>
            <sz val="11"/>
            <color theme="1"/>
            <rFont val="Aptos Narrow"/>
            <family val="2"/>
            <scheme val="minor"/>
          </rPr>
          <t>As of Week 19</t>
        </r>
      </text>
    </comment>
    <comment ref="C40" authorId="3" shapeId="0" xr:uid="{CC277C50-6FC8-44A6-98A1-4C875C74910D}">
      <text>
        <r>
          <rPr>
            <b/>
            <sz val="9"/>
            <color indexed="81"/>
            <rFont val="Tahoma"/>
            <family val="2"/>
          </rPr>
          <t>Frank James:</t>
        </r>
        <r>
          <rPr>
            <sz val="9"/>
            <color indexed="81"/>
            <rFont val="Tahoma"/>
            <family val="2"/>
          </rPr>
          <t xml:space="preserve">
Not included in the SIN</t>
        </r>
      </text>
    </comment>
    <comment ref="C41" authorId="3" shapeId="0" xr:uid="{97C176C5-0089-4636-9FC0-BF6F7930E0E2}">
      <text>
        <r>
          <rPr>
            <b/>
            <sz val="9"/>
            <color indexed="81"/>
            <rFont val="Tahoma"/>
            <family val="2"/>
          </rPr>
          <t>Frank James:</t>
        </r>
        <r>
          <rPr>
            <sz val="9"/>
            <color indexed="81"/>
            <rFont val="Tahoma"/>
            <family val="2"/>
          </rPr>
          <t xml:space="preserve">
Not included in the SIN</t>
        </r>
      </text>
    </comment>
    <comment ref="Q42" authorId="1" shapeId="0" xr:uid="{B849FB0A-794E-4EE1-9C83-740343E6652D}">
      <text>
        <r>
          <rPr>
            <sz val="11"/>
            <color theme="1"/>
            <rFont val="Aptos Narrow"/>
            <family val="2"/>
            <scheme val="minor"/>
          </rPr>
          <t>As of Week 19</t>
        </r>
      </text>
    </comment>
    <comment ref="C46" authorId="3" shapeId="0" xr:uid="{6C103208-8A81-40EB-933B-18B0C5E16544}">
      <text>
        <r>
          <rPr>
            <b/>
            <sz val="9"/>
            <color indexed="81"/>
            <rFont val="Tahoma"/>
            <family val="2"/>
          </rPr>
          <t>Frank James:</t>
        </r>
        <r>
          <rPr>
            <sz val="9"/>
            <color indexed="81"/>
            <rFont val="Tahoma"/>
            <family val="2"/>
          </rPr>
          <t xml:space="preserve">
Not included in the SIN</t>
        </r>
      </text>
    </comment>
    <comment ref="H50" authorId="1" shapeId="0" xr:uid="{F42FE99C-6254-4369-BD1F-5C526EECA96D}">
      <text>
        <r>
          <rPr>
            <sz val="11"/>
            <color theme="1"/>
            <rFont val="Aptos Narrow"/>
            <family val="2"/>
            <scheme val="minor"/>
          </rPr>
          <t xml:space="preserve">As per Engr. Tutor
</t>
        </r>
      </text>
    </comment>
    <comment ref="Q51" authorId="0" shapeId="0" xr:uid="{AF02C858-2519-4FE8-87E7-E00475FFD7B2}">
      <text>
        <r>
          <rPr>
            <sz val="11"/>
            <color theme="1"/>
            <rFont val="Aptos Narrow"/>
            <family val="2"/>
            <scheme val="minor"/>
          </rPr>
          <t>Rheena Bianca R. Villeno:
on going outage/
as of May 18, 23:59</t>
        </r>
      </text>
    </comment>
    <comment ref="H60" authorId="1" shapeId="0" xr:uid="{79EFEB73-ACB9-4240-A3BE-75BE82B5F986}">
      <text>
        <r>
          <rPr>
            <sz val="11"/>
            <color theme="1"/>
            <rFont val="Aptos Narrow"/>
            <family val="2"/>
            <scheme val="minor"/>
          </rPr>
          <t>Still checking on their Maintenance Team for its Estimated D/T of resumption as per PDPP1</t>
        </r>
      </text>
    </comment>
    <comment ref="C65" authorId="4" shapeId="0" xr:uid="{E8F3E607-DB01-4B38-9770-9B7484B41C70}">
      <text>
        <r>
          <rPr>
            <b/>
            <sz val="9"/>
            <color indexed="81"/>
            <rFont val="Tahoma"/>
            <family val="2"/>
          </rPr>
          <t xml:space="preserve">ENGR. JANRECK CRIBE:
</t>
        </r>
        <r>
          <rPr>
            <sz val="9"/>
            <color indexed="81"/>
            <rFont val="Tahoma"/>
            <family val="2"/>
          </rPr>
          <t>Under Decommissioning with LOC dated 05 Mar 2026, effective 30 November 2026</t>
        </r>
      </text>
    </comment>
    <comment ref="C66" authorId="4" shapeId="0" xr:uid="{B539E636-EE02-4147-AC36-1BD349091153}">
      <text>
        <r>
          <rPr>
            <b/>
            <sz val="9"/>
            <color indexed="81"/>
            <rFont val="Tahoma"/>
            <family val="2"/>
          </rPr>
          <t>ENGR. JANRECK CRIBE:</t>
        </r>
        <r>
          <rPr>
            <sz val="9"/>
            <color indexed="81"/>
            <rFont val="Tahoma"/>
            <family val="2"/>
          </rPr>
          <t xml:space="preserve">
Under Decommissioning with LOC dated 05 Mar 2026, effective 30 November 2026.</t>
        </r>
      </text>
    </comment>
    <comment ref="H68" authorId="1" shapeId="0" xr:uid="{06ACC314-A351-484C-8F78-62554EE81204}">
      <text>
        <r>
          <rPr>
            <sz val="11"/>
            <color theme="1"/>
            <rFont val="Aptos Narrow"/>
            <family val="2"/>
            <scheme val="minor"/>
          </rPr>
          <t>ERC IED GenCo:
Standby Unit due to Transformer Work as per Sir Joe of VMCI</t>
        </r>
      </text>
    </comment>
    <comment ref="M70" authorId="4" shapeId="0" xr:uid="{D4FA7BA3-2804-4164-8414-C7300935C12A}">
      <text>
        <r>
          <rPr>
            <b/>
            <sz val="9"/>
            <color indexed="81"/>
            <rFont val="Tahoma"/>
            <family val="2"/>
          </rPr>
          <t>ENGR. JANRECK CRIBE:</t>
        </r>
        <r>
          <rPr>
            <sz val="9"/>
            <color indexed="81"/>
            <rFont val="Tahoma"/>
            <family val="2"/>
          </rPr>
          <t xml:space="preserve">
</t>
        </r>
      </text>
    </comment>
  </commentList>
</comments>
</file>

<file path=xl/sharedStrings.xml><?xml version="1.0" encoding="utf-8"?>
<sst xmlns="http://schemas.openxmlformats.org/spreadsheetml/2006/main" count="2205" uniqueCount="368">
  <si>
    <t>Consolidated Outage Data in Luzon Grid - 12 MAY to 18 MAY 2026</t>
  </si>
  <si>
    <t>Grid</t>
  </si>
  <si>
    <t>Generation Company</t>
  </si>
  <si>
    <t>Generating Facility</t>
  </si>
  <si>
    <t>Generating Unit</t>
  </si>
  <si>
    <t>Total Outage Capacity (MW)</t>
  </si>
  <si>
    <t>Actual Outage Occurrence</t>
  </si>
  <si>
    <t>Estimated Resumption</t>
  </si>
  <si>
    <t>Actual Outage Resumption</t>
  </si>
  <si>
    <t>Duration</t>
  </si>
  <si>
    <t>Reason</t>
  </si>
  <si>
    <t>Technology</t>
  </si>
  <si>
    <r>
      <rPr>
        <b/>
        <sz val="12"/>
        <color rgb="FFFFFFFF"/>
        <rFont val="Georgia"/>
        <family val="1"/>
      </rPr>
      <t xml:space="preserve">Compliance with Reliability Indices 
</t>
    </r>
    <r>
      <rPr>
        <b/>
        <sz val="10"/>
        <color rgb="FFFFFFFF"/>
        <rFont val="Georgia"/>
        <family val="1"/>
      </rPr>
      <t>(As of 01 January to 18 May 2026)</t>
    </r>
  </si>
  <si>
    <t>PSA Contracts</t>
  </si>
  <si>
    <t>ASPA</t>
  </si>
  <si>
    <t>Related Groups / Affiliates</t>
  </si>
  <si>
    <t>(ERC Reso 04, Ser. 2015)</t>
  </si>
  <si>
    <t>Outage Allowance</t>
  </si>
  <si>
    <t>Total Accumulated Unplanned Outage Days</t>
  </si>
  <si>
    <r>
      <rPr>
        <b/>
        <sz val="12"/>
        <color rgb="FFFFFFFF"/>
        <rFont val="Georgia"/>
        <family val="1"/>
      </rPr>
      <t xml:space="preserve">Status
</t>
    </r>
    <r>
      <rPr>
        <b/>
        <sz val="10"/>
        <color rgb="FFFFFFFF"/>
        <rFont val="Georgia"/>
        <family val="1"/>
      </rPr>
      <t>(positive value means exceeded limits)</t>
    </r>
  </si>
  <si>
    <t>Off-taker</t>
  </si>
  <si>
    <t>Capacity (MW)</t>
  </si>
  <si>
    <t>Type</t>
  </si>
  <si>
    <t>Date Out</t>
  </si>
  <si>
    <t>Time Out</t>
  </si>
  <si>
    <t>Date</t>
  </si>
  <si>
    <t>Time</t>
  </si>
  <si>
    <t>Date In</t>
  </si>
  <si>
    <t>Time In</t>
  </si>
  <si>
    <t>Luzon</t>
  </si>
  <si>
    <t>VS Gripal Power Corporation</t>
  </si>
  <si>
    <t>VSGPC BPP</t>
  </si>
  <si>
    <t>Unit 1</t>
  </si>
  <si>
    <t>-</t>
  </si>
  <si>
    <t>Emergency Plant shutdown due to boiler waterwall leakage</t>
  </si>
  <si>
    <t>Biomass</t>
  </si>
  <si>
    <t>N/A</t>
  </si>
  <si>
    <t>Under Union Equities, Inc. Group with affiliations with the following:
1. Catuiran Hydropower Corporation
2. Grass Gold Renewable Energy Corporation
3. San Jose City 1 Power Corp.
4. VS Gripal Power Corporation</t>
  </si>
  <si>
    <t>CBK Power Company Limited</t>
  </si>
  <si>
    <t>Botocan HEPP</t>
  </si>
  <si>
    <t>Unit 2</t>
  </si>
  <si>
    <t>Insufficient Water Supply</t>
  </si>
  <si>
    <t>Hydroelectric</t>
  </si>
  <si>
    <t>Under Aboitiz Equity Ventures, Inc. Group with affiliations with the following:
1. Aboitiz Solar Power Inc.
2. AP Renewables, Inc.
3. Apo Agua Infrastructure, Inc.
4. CBK Power Company Limited
5. Cebu Energy Development Corporation
6. Cotabato Light &amp; Power Company
7. East Asia Utilities Corporation
8. Excellent Energy Resources, Inc.
9. GNPower Dinginin Ltd. Co.
10. GNPower Mariveles Energy Center Ltd. Co.
11. Hedcor Bukidnon, Inc.
12. Hedcor Sabangan, Inc.
13. Hedcor Sibulan, Inc.
14. Hedcor Tudaya, Inc.
15. Hedcor Inc.
16. Pagbilao Energy Corporation
17. PV Sinag Power Inc.
18. RE Resources, Inc.
19. Republic Cement &amp; Building Materials, Inc.
20. San Carlos Sun Power
21. SN Aboitiz Power Benguet, Inc.
22. SN Aboitiz Power Magat, Inc.
23. South Premiere Power Corp.
24. SPI Power Incorporated
25. Therma Luzon, Inc.
26. Therma Marine, Inc.
27. Therma Mobile, Inc.
28. Therma South Inc.
29. Therma Visayas, Inc.</t>
  </si>
  <si>
    <t>Hedcor, Inc.</t>
  </si>
  <si>
    <t>Lower Labay HEPP</t>
  </si>
  <si>
    <t>TBD</t>
  </si>
  <si>
    <t>Electrical Trip (For
further
investigation)</t>
  </si>
  <si>
    <t>First NatGas Power Corp.</t>
  </si>
  <si>
    <t>San Gabriel CCPP</t>
  </si>
  <si>
    <t>Unit 70</t>
  </si>
  <si>
    <t>Shutdown of Batangas-San Lorenzo Line 2 to facilitate correction of hotspot at DS Phase B TPC towards CB at Batangas SS</t>
  </si>
  <si>
    <t>Combined-Cycle</t>
  </si>
  <si>
    <t>Under First Gen Corporation with affiliations with the following:
1. Bac-Man Geothermal Inc.
2. EDC Burgos Wind Power Corporation
3. Energy Development Corporation
4. FGP Corp.
5. FG Bukidnon Power Corporation
6. First Gas Power Corporation
7. First Gen Hydro Power Corporation
8. First Natgas Power Corp.
9. Fresh River Lakes Corp.
10. Green Core Geothermal, Inc.
11. Prime Meridian Powergen Corporation</t>
  </si>
  <si>
    <t>FLS HEPP</t>
  </si>
  <si>
    <t>Insufficient water supply</t>
  </si>
  <si>
    <t>Unit 4</t>
  </si>
  <si>
    <t>One Subic Power Generation Corporation</t>
  </si>
  <si>
    <t>OSPGC BCFDPP</t>
  </si>
  <si>
    <t>Down for repair of cylinder A3 due to water leak on liner wall.</t>
  </si>
  <si>
    <t>Diesel</t>
  </si>
  <si>
    <t>DR and RPS</t>
  </si>
  <si>
    <t>Under Ayala Corporation with affiliations with the following:
1. Alaminos BESS, Inc.
2. Amihan Renewable Energy Corp.
3. Bataan Solar Energy Inc. 
4. Bayog Wind Power Corporation
5. Bulacan Power Generation Corporation
6. CIP II Power Corporation
7. Gigasol3, Inc. 
8. Guimaras Wind Corporation
9. Ingrid Power Holdings, Inc. and AERSI
10. Maibarara Geothermal, Inc.
11. Monte Solar Energy Inc. 
12. Natures Renewable Energy Devt. Corporation
13. Negros Island Solar Power Inc.
14. North Luzon Renewable Energy Corp.
15. Northwind Power Development Corporation
16. One Subic Power Generation Corp.
17. San Carlos Solar Energy, Inc.
18. Santa Cruz Solar Energy Inc.
19. Sinocalan Solar Power Corp. 
20. Solarace1 Energy Corp.
21. South Luzon Thermal Energy Corporation and ACEN Corporation</t>
  </si>
  <si>
    <t>SN Aboitiz Power - Benguet Inc.</t>
  </si>
  <si>
    <t>Ambuklao HEPP</t>
  </si>
  <si>
    <t>Annual Preventive Maintenance -
To facilitate closing of draft tube 
gate in support of unit 3 APM</t>
  </si>
  <si>
    <t>IFELCO</t>
  </si>
  <si>
    <t>RR/ AGC</t>
  </si>
  <si>
    <t>Unit 3</t>
  </si>
  <si>
    <t>Annual Preventive Maintenance</t>
  </si>
  <si>
    <t>Annual Preventive Maintenance -To facilitate closing of draft tube gate in support of unit 3 APM</t>
  </si>
  <si>
    <t>Binga HEPP</t>
  </si>
  <si>
    <t>"Hydrological Constraint (Low Reservoir Elevation)"</t>
  </si>
  <si>
    <t>RR and CR / GCM and AGC</t>
  </si>
  <si>
    <t>Therma Mobile, Inc.</t>
  </si>
  <si>
    <t xml:space="preserve">TMO M3 Bunker C-Fired DPP </t>
  </si>
  <si>
    <t>DG 1</t>
  </si>
  <si>
    <t>Damaged Journal bearing</t>
  </si>
  <si>
    <t>RR and RPS</t>
  </si>
  <si>
    <t>DG 3</t>
  </si>
  <si>
    <t>Sparking observed at Engine Generator</t>
  </si>
  <si>
    <t>DG 6</t>
  </si>
  <si>
    <t>AVR Problem</t>
  </si>
  <si>
    <t>Kalayaan HEPP</t>
  </si>
  <si>
    <t xml:space="preserve">TMO M5 Bunker C-Fired DPP </t>
  </si>
  <si>
    <t>Damaged Journals and Cylinder Liner blocks</t>
  </si>
  <si>
    <t>DG 7</t>
  </si>
  <si>
    <t>AVR MCB Open Alarm</t>
  </si>
  <si>
    <t>Unit 5</t>
  </si>
  <si>
    <t>Emergency stop due to broken HT water bleeder valve</t>
  </si>
  <si>
    <t>Tripped due to PLC fault</t>
  </si>
  <si>
    <t>DG 4</t>
  </si>
  <si>
    <t xml:space="preserve">Engine High Crankcase Pressure </t>
  </si>
  <si>
    <t>GNPower Dinginin Ltd. Co.</t>
  </si>
  <si>
    <t>GNPD CFPP</t>
  </si>
  <si>
    <t>Turbine Trip due to 
condenser hot well 
level high high</t>
  </si>
  <si>
    <t>Coal-Fired</t>
  </si>
  <si>
    <t>AURELCO, NEECO I, PELCO III, PRESCO, TARELCO I &amp; II, ZAMECO I &amp; II, PENELCO, BILECO, DORELCO, LEYECO II-V,  SOLECO, NORSAMELCO, ESAMELCO, SAMELCO I &amp; II, LUELCO, BATELEC i &amp; II, TEI, ANTECO, ILECO II &amp; III, PELCO II</t>
  </si>
  <si>
    <t>CR/GCM</t>
  </si>
  <si>
    <t>Maibarara Geothermal, Inc.</t>
  </si>
  <si>
    <t>Maibarara GPP</t>
  </si>
  <si>
    <t>52H &amp; 52L Circuit Breaker opened due to Main Transformer 
Pressure Relief switch wire of its terminal become shorted</t>
  </si>
  <si>
    <t>Geothermal</t>
  </si>
  <si>
    <t>DG 11</t>
  </si>
  <si>
    <t>Earth fault alarm</t>
  </si>
  <si>
    <t>DG 5</t>
  </si>
  <si>
    <t>Engine overspeed trip</t>
  </si>
  <si>
    <t>Hydro Constraint (Low Net Head)</t>
  </si>
  <si>
    <t>SN Aboitiz Power - Magat Inc.</t>
  </si>
  <si>
    <t>Magat HEPP</t>
  </si>
  <si>
    <t>OMC- Limited Allowable Water Release</t>
  </si>
  <si>
    <t>OMC Hydro Constraint, Low Net 
head level</t>
  </si>
  <si>
    <t>Insufficient
Water
Supply</t>
  </si>
  <si>
    <t>Excellent Energy Resources Inc.</t>
  </si>
  <si>
    <t>Batangas CCPP</t>
  </si>
  <si>
    <t>Emergency shutdown due to IP FW relief valve tubing detached</t>
  </si>
  <si>
    <t>MERALCO</t>
  </si>
  <si>
    <r>
      <rPr>
        <sz val="8"/>
        <color rgb="FF000000"/>
        <rFont val="Georgia"/>
        <family val="1"/>
      </rPr>
      <t xml:space="preserve">Under Aboitiz Equity Ventures, Inc., San Miguel Corporation and Manila Electric Company with affiliations with the following:
</t>
    </r>
    <r>
      <rPr>
        <u/>
        <sz val="8"/>
        <color rgb="FF000000"/>
        <rFont val="Georgia"/>
        <family val="1"/>
      </rPr>
      <t xml:space="preserve">AEVI
</t>
    </r>
    <r>
      <rPr>
        <sz val="8"/>
        <color rgb="FF000000"/>
        <rFont val="Georgia"/>
        <family val="1"/>
      </rPr>
      <t xml:space="preserve">1. Aboitiz Solar Power Inc.
2. AP Renewables, Inc.
3. Apo Agua Infrastructure, Inc.
4. CBK Power Company Limited
5. Cebu Energy Development Corporation
6. Cotabato Light &amp; Power Company
7. East Asia Utilities Corporation
8. Excellent Energy Resources, Inc.
9. GNPower Dinginin Ltd. Co.
10. GNPower Mariveles Energy Center Ltd. Co.
11. Hedcor Bukidnon, Inc.
12. Hedcor Sabangan, Inc.
13. Hedcor Sibulan, Inc.
14. Hedcor Tudaya, Inc.
15. Hedcor Inc.
16. Pagbilao Energy Corporation
17. PV Sinag Power Inc.
18. RE Resources, Inc.
19. Republic Cement &amp; Building Materials, Inc.
20. San Carlos Sun Power
21. SN Aboitiz Power Benguet, Inc.
22. SN Aboitiz Power Magat, Inc.
23. South Premiere Power Corp.
24. SPI Power Incorporated
25. Therma Luzon, Inc.
26. Therma Marine, Inc.
27. Therma Mobile, Inc.
28. Therma South Inc.
29. Therma Visayas, Inc.
</t>
    </r>
    <r>
      <rPr>
        <u/>
        <sz val="8"/>
        <color rgb="FF000000"/>
        <rFont val="Georgia"/>
        <family val="1"/>
      </rPr>
      <t xml:space="preserve">SMC
</t>
    </r>
    <r>
      <rPr>
        <sz val="8"/>
        <color rgb="FF000000"/>
        <rFont val="Georgia"/>
        <family val="1"/>
      </rPr>
      <t xml:space="preserve">1. Angat Hydropower Corporation and Metropolitan Waterworks and Sewerage System
2. Excellent Energy Resources, Inc.
3. Isabel Ancillary Services Co. Ltd. and Aggreko Energy Rental Solutions, Inc.
4. Limay Power Inc.
5. Malita Power Inc.
6. Mariveles Power Generation Corp.
7. Masinloc Power Co. Ltd.
8. Petron Corporation
9. San Roque Power Corporation, PSALM, and San Roque Hydropower, Inc. (IPPA) 
10. SMGP BESS Power Inc.
11. SMGP Kabankalan Power Co. Ltd.
12. South Premiere Power Corp.
13. Sual Power Inc. 
</t>
    </r>
    <r>
      <rPr>
        <u/>
        <sz val="8"/>
        <color rgb="FF000000"/>
        <rFont val="Georgia"/>
        <family val="1"/>
      </rPr>
      <t xml:space="preserve">
MERALCO
</t>
    </r>
    <r>
      <rPr>
        <sz val="8"/>
        <color rgb="FF000000"/>
        <rFont val="Georgia"/>
        <family val="1"/>
      </rPr>
      <t>1. Excellent Energy Resources, Inc.
2. Cebu Energy Development Corporation
2. Greentech Solar Energy, Inc.
3. Nuevo Solar Energy Corp. 
5. Panay Energy Development Corporation
6. Panay Power Corporation
4. PH Renewables, Inc.
5. Powersource First Bulacan Solar Inc. 
6. San Buenaventura Power Ltd. Co.
7. Solar Philippines Calatagan Corporation
8. Solar Philippines Tarlac Corporation
9. South Premiere Power Corp.
10. Toledo Power Co.</t>
    </r>
  </si>
  <si>
    <t>Unit 3 remains on shutdown due to CWP line breather leak</t>
  </si>
  <si>
    <t>OMC below operating level</t>
  </si>
  <si>
    <t>Unit tripped to start due Lower Guide Bearing Segment High Temp</t>
  </si>
  <si>
    <t>OMC Hydro Constraint, Low net head level</t>
  </si>
  <si>
    <t>"OMC outage due to Hydrological Constraint (Low Reservoir Elevation)"</t>
  </si>
  <si>
    <t>South Premiere Power Corp.</t>
  </si>
  <si>
    <t>Ilijan CCPP</t>
  </si>
  <si>
    <t>Block 1</t>
  </si>
  <si>
    <t>On outage due to Auxiliary Boiler tube leak</t>
  </si>
  <si>
    <t>Block 2</t>
  </si>
  <si>
    <t>To facilitate the closing and opening of draft tube gates to support APM activities of unit 1</t>
  </si>
  <si>
    <t>Bac-Man Geothermal Inc.</t>
  </si>
  <si>
    <t>Bac-Man 2 GPP</t>
  </si>
  <si>
    <t>Due to Bently Nevada trip caused by grid under frequency</t>
  </si>
  <si>
    <t>Masinloc Power Co., Ltd.</t>
  </si>
  <si>
    <t>Masinloc CFTPP</t>
  </si>
  <si>
    <t>Turbine Tripped due to turbine protection actuated</t>
  </si>
  <si>
    <t>BATELEC I, CASURECO II,CELCOR-BL, CELCOR-MM, LUECO, SFELAPCO, ABRECO, INEC, ISECO, KAELCO, LUELCO, MOPRECO, PANELCO I, PANELCO III &amp; SAJELCO</t>
  </si>
  <si>
    <t xml:space="preserve">Under San Miguel Corporation with affiliations with the following:
1. Angat Hydropower Corporation and Metropolitan Waterworks and Sewerage System
2. Excellent Energy Resources, Inc.
3. Isabel Ancillary Services Co. Ltd. and Aggreko Energy Rental Solutions, Inc.
4. Limay Power Inc.
5. Malita Power Inc.
6. Mariveles Power Generation Corp.
7. Masinloc Power Co. Ltd.
8. Petron Corporation
9. San Roque Power Corporation, PSALM, and San Roque Hydropower, Inc. (IPPA) 
10. SMGP BESS Power Inc.
11. SMGP Kabankalan Power Co. Ltd.
12. South Premiere Power Corp.
13. Sual Power Inc. </t>
  </si>
  <si>
    <t>All units tripped due to opening of GCBs at Ilijan Switchyard following Tayabas-Ilijan 500kV Line Tripping</t>
  </si>
  <si>
    <t>Under Aboitiz Equity Ventures, Inc., San Miguel Corporation and Manila Electric Company with affiliations with the following:
AEVI
1. Aboitiz Solar Power Inc.
2. AP Renewables, Inc.
3. Apo Agua Infrastructure, Inc.
4. CBK Power Company Limited
5. Cebu Energy Development Corporation
6. Cotabato Light &amp; Power Company
7. East Asia Utilities Corporation
8. Excellent Energy Resources, Inc.
9. GNPower Dinginin Ltd. Co.
10. GNPower Mariveles Energy Center Ltd. Co.
11. Hedcor Bukidnon, Inc.
12. Hedcor Sabangan, Inc.
13. Hedcor Sibulan, Inc.
14. Hedcor Tudaya, Inc.
15. Hedcor Inc.
16. Pagbilao Energy Corporation
17. PV Sinag Power Inc.
18. RE Resources, Inc.
19. Republic Cement &amp; Building Materials, Inc.
20. San Carlos Sun Power
21. SN Aboitiz Power Benguet, Inc.
22. SN Aboitiz Power Magat, Inc.
23. South Premiere Power Corp.
24. SPI Power Incorporated
25. Therma Luzon, Inc.
26. Therma Marine, Inc.
27. Therma Mobile, Inc.
28. Therma South Inc.
29. Therma Visayas, Inc.
SMC
1. Angat Hydropower Corporation and Metropolitan Waterworks and Sewerage System
2. Excellent Energy Resources, Inc.
3. Isabel Ancillary Services Co. Ltd. and Aggreko Energy Rental Solutions, Inc.
4. Limay Power Inc.
5. Malita Power Inc.
6. Mariveles Power Generation Corp.
7. Masinloc Power Co. Ltd.
8. Petron Corporation
9. San Roque Power Corporation, PSALM, and San Roque Hydropower, Inc. (IPPA) 
10. SMGP BESS Power Inc.
11. SMGP Kabankalan Power Co. Ltd.
12. South Premiere Power Corp.
13. Sual Power Inc. 
MERALCO
1. Excellent Energy Resources, Inc.
2. Cebu Energy Development Corporation
2. Greentech Solar Energy, Inc.
3. Nuevo Solar Energy Corp. 
5. Panay Energy Development Corporation
6. Panay Power Corporation
4. PH Renewables, Inc.
5. Powersource First Bulacan Solar Inc. 
6. San Buenaventura Power Ltd. Co.
7. Solar Philippines Calatagan Corporation
8. Solar Philippines Tarlac Corporation
9. South Premiere Power Corp.
10. Toledo Power Co.</t>
  </si>
  <si>
    <t>Palayan Binary GPP</t>
  </si>
  <si>
    <t>Unit auto-tripped following a
system grid disturbance</t>
  </si>
  <si>
    <t>BATELEC II, CAGELCO</t>
  </si>
  <si>
    <t>Low water elevation</t>
  </si>
  <si>
    <t>Unit failed to start due cooling water feedback relay failure.</t>
  </si>
  <si>
    <t>To conduct Semi-annual preventive maintenance</t>
  </si>
  <si>
    <t>Mariveles Power Generation Corp</t>
  </si>
  <si>
    <t>MPGC CFPP</t>
  </si>
  <si>
    <t>Master fuel trip due to furnace pressure high high high</t>
  </si>
  <si>
    <t>San Roque Power Corporation</t>
  </si>
  <si>
    <t>San Roque HEPP</t>
  </si>
  <si>
    <t>Unit 2 Annual Inspection according to CY2026 GOP</t>
  </si>
  <si>
    <t>OMC Low net head / water level</t>
  </si>
  <si>
    <t>Sal-Angan HEPP</t>
  </si>
  <si>
    <t>NIA Baligatan Hydroelectric Power Plant</t>
  </si>
  <si>
    <t>Baligatan HEPP</t>
  </si>
  <si>
    <t>Suspension due to Irrigation Diversion Requirement (IDR) Cut-off</t>
  </si>
  <si>
    <t>No affiliations; Under a Government Controlled arrangement</t>
  </si>
  <si>
    <t>Republic Cement &amp; Building Materials, Inc.</t>
  </si>
  <si>
    <t>Batangas DPP</t>
  </si>
  <si>
    <t>Heavy water leak at the turbocharger leak-off line B-bank</t>
  </si>
  <si>
    <t>La Trinidad HEPP</t>
  </si>
  <si>
    <t>Irisan 1 HEPP</t>
  </si>
  <si>
    <t>Irisan 3 HEPP</t>
  </si>
  <si>
    <t>Belgrove Power Corporation</t>
  </si>
  <si>
    <t>Malaya OFTPP</t>
  </si>
  <si>
    <t>Tripped due to loss prime of CWP</t>
  </si>
  <si>
    <t>Oil-Fired Thermal</t>
  </si>
  <si>
    <t>Under One Power Systems Holdings, Inc. with affiliations with the following:
1. Alterpower Digos Solar, Inc.
2. Fort Pilar Energy, Inc.</t>
  </si>
  <si>
    <t>Declared unavailable due to motorization of unit generator caused by the non-opening of phase B of PCB 8-05CB08MAL (from CDOR)</t>
  </si>
  <si>
    <t>Consolidated Outage Data in Visayas Grid - 12 MAY to 18 MAY 2026</t>
  </si>
  <si>
    <t>Total Accumulated UO Days</t>
  </si>
  <si>
    <t>Status</t>
  </si>
  <si>
    <t>Capacity</t>
  </si>
  <si>
    <t>Visayas</t>
  </si>
  <si>
    <t>Central Azucarera De San Antonio, Inc.</t>
  </si>
  <si>
    <t>CASA BPP</t>
  </si>
  <si>
    <t>Disturbance at Distribution Utility</t>
  </si>
  <si>
    <t>Under Chan Group with affiliations with the following:
1. Central Azucarera De Bais, Inc.
2. Central Azucarera De San Antonio, Inc.</t>
  </si>
  <si>
    <t>Central Negros Power Reliability, Inc.</t>
  </si>
  <si>
    <t>CENPRI Bunker C-Fired DPP</t>
  </si>
  <si>
    <t>DG Set unload due to circuit breaker charging motor failure</t>
  </si>
  <si>
    <t>NEPC</t>
  </si>
  <si>
    <t>Under Energreen Power Inter-Island Corp. with affiliations with the following:
1. Central Negros Power Reliability, Inc.
2. Mindoro Harvest Energy Co. Inc.</t>
  </si>
  <si>
    <t>First Farmers Holding Corporation</t>
  </si>
  <si>
    <t>FFHC BPP</t>
  </si>
  <si>
    <t>Scheduled shutdown of Cadiz-Victorias-Talisay 69kV Transmission Line as per NEPC request</t>
  </si>
  <si>
    <t>No other affiliations; Owned majority by Individuals</t>
  </si>
  <si>
    <t>Central Azucarera de Bais, Inc.</t>
  </si>
  <si>
    <t>CABI BPP</t>
  </si>
  <si>
    <t>Zero export due to NGCP Maintenance Shutdown</t>
  </si>
  <si>
    <t>Bohol I Electric Cooperative, Inc.</t>
  </si>
  <si>
    <t>Sevilla MHEPP</t>
  </si>
  <si>
    <t>Low water level</t>
  </si>
  <si>
    <t>No affiliations; Under a Cooperative Arrangement</t>
  </si>
  <si>
    <t>Panay Energy Development Corporation</t>
  </si>
  <si>
    <t>PEDC CFTPP</t>
  </si>
  <si>
    <t>Emergency Maintenance Shutdown</t>
  </si>
  <si>
    <t>ILECO II 
PECO
AKELCO</t>
  </si>
  <si>
    <t>10 MW
65 MW
12 MW</t>
  </si>
  <si>
    <t>Under Manila Electric Company with affiliations with the following:
1. Excellent Energy Resources, Inc.
2. Cebu Energy Development Corporation
2. Greentech Solar Energy, Inc.
3. Nuevo Solar Energy Corp. 
5. Panay Energy Development Corporation
6. Panay Power Corporation
4. PH Renewables, Inc.
5. Powersource First Bulacan Solar Inc. 
6. San Buenaventura Power Ltd. Co.
7. Solar Philippines Calatagan Corporation
8. Solar Philippines Tarlac Corporation
9. South Premiere Power Corp.
10. Toledo Power Co.</t>
  </si>
  <si>
    <t>SPC Island Power Corporation</t>
  </si>
  <si>
    <t>Panay 3 DPP</t>
  </si>
  <si>
    <t>Golf</t>
  </si>
  <si>
    <t>Manually shutdown unit Golf due to excessive water leak between
engine frame and liner of cylinder</t>
  </si>
  <si>
    <t>Under Korea Electric Power Corporation with affiliations with the following:
1. KEPCO SPC Power Corporation
2. SPC Island Power Corporation
3. SPC Power Corporation</t>
  </si>
  <si>
    <t>Victorias Milling Company Inc.</t>
  </si>
  <si>
    <t>VMCI BPP</t>
  </si>
  <si>
    <t>No milling operation/insufficient cane supply</t>
  </si>
  <si>
    <t>Under LT Group, Inc. with affiliations with the following:
1. Absolut Distillers, Inc.
2. Victorias Milling Company, Inc.</t>
  </si>
  <si>
    <t>Meridian Power Inc.</t>
  </si>
  <si>
    <t>MPI Bunker C-Fired DPP</t>
  </si>
  <si>
    <t>DG 2</t>
  </si>
  <si>
    <t xml:space="preserve">Oil Mist Concentration Shutdown </t>
  </si>
  <si>
    <t>VECO</t>
  </si>
  <si>
    <t>70 MW</t>
  </si>
  <si>
    <t>Under Vivant Corporation with affiliations with the following:
1. 1590 Energy Corp.
2. Bukidnonpower Corporation
3. Calamian Islands Power Corp.
4. Cebu Energy Development Corporation
5. Delta P, Inc. and AERSI
6. Isla Norte Power Corporation
7. Meridian Power Inc.
8. Minergy Power Corporation
9. North  Bukidnonpower Corporation</t>
  </si>
  <si>
    <t>Bohol DPP</t>
  </si>
  <si>
    <t>Forced Cut out due to observed heavy smoke at cylinder no. 8</t>
  </si>
  <si>
    <t xml:space="preserve">BLCI </t>
  </si>
  <si>
    <t>16 MW</t>
  </si>
  <si>
    <t>Sunwest Water and Electric Company 2, Inc.</t>
  </si>
  <si>
    <t>Villasiga HEPP</t>
  </si>
  <si>
    <t>Shutdown due to low water yield</t>
  </si>
  <si>
    <t xml:space="preserve">ANTECO </t>
  </si>
  <si>
    <t>8 MW</t>
  </si>
  <si>
    <t>Under Sunwest Group Holding Company, Inc. with affiliations with the following:
1. Sunwest Water and Electric Company 2, Inc.
2. Sunwest Water and Electric Co. (SUWECO), Inc.
3. SUWECO Tablas Energy Corporation</t>
  </si>
  <si>
    <t>BOHECO I</t>
  </si>
  <si>
    <t>1 MW</t>
  </si>
  <si>
    <t>Green Core Geothermal, Inc.</t>
  </si>
  <si>
    <t>Tongonan GPP</t>
  </si>
  <si>
    <t>Unit on emergency shutdown to carry out an inspection and repair of its turbine gland sealing lines</t>
  </si>
  <si>
    <t>ILECO I  
CAPELCO</t>
  </si>
  <si>
    <t>18 MW
12 MW</t>
  </si>
  <si>
    <t>Echo</t>
  </si>
  <si>
    <t>Manually shut down unit Echo due to excessive fuel leak at fuel header of cylinder A8.</t>
  </si>
  <si>
    <t>Forced cut-out due to observed knocking sound at cylinder no.1.</t>
  </si>
  <si>
    <t>DG set unload due to water ingress in lube oil system</t>
  </si>
  <si>
    <t>CENECO</t>
  </si>
  <si>
    <t xml:space="preserve">18.9 MW </t>
  </si>
  <si>
    <t>Forced outage due to failure to start after several attempts</t>
  </si>
  <si>
    <t>Manually shutdown unit Golf due to excessive lube oil leak at cracked supply pipe B-bank</t>
  </si>
  <si>
    <t>Toledo Power Company</t>
  </si>
  <si>
    <t>Carmen DPP</t>
  </si>
  <si>
    <t>DG No. 1 tripped due to engine over speed</t>
  </si>
  <si>
    <t>MERALCO
CEBECO III</t>
  </si>
  <si>
    <t>73 MW</t>
  </si>
  <si>
    <t>Panay 1 DPP</t>
  </si>
  <si>
    <t>Unable to cut in unit 5 due to observed sudden increase of bearing temperature of main bearing no. 1</t>
  </si>
  <si>
    <t>Insufficient cane supply</t>
  </si>
  <si>
    <t>NONESCO / VRESO</t>
  </si>
  <si>
    <t>3 MW</t>
  </si>
  <si>
    <t>Universal Robina Corporation</t>
  </si>
  <si>
    <t>Kabankalan BPP</t>
  </si>
  <si>
    <t>Heavy turbine fault</t>
  </si>
  <si>
    <t>Under JG Summit Holdings, Inc. Group</t>
  </si>
  <si>
    <t>Forced outage due to observed fuel leak at cylinder no. 6</t>
  </si>
  <si>
    <t>DG 8</t>
  </si>
  <si>
    <t>Water Leak</t>
  </si>
  <si>
    <t>Charlie</t>
  </si>
  <si>
    <t>Pulled ut and replace cylinder liner and cylinder head A5</t>
  </si>
  <si>
    <t>Forced outage due to observed fuel leak at cylinder no. 1 header supply line</t>
  </si>
  <si>
    <t>SPC Power Corporation</t>
  </si>
  <si>
    <t>Power Barge 104</t>
  </si>
  <si>
    <t>Unable to cut in due to excessive Exhaust gas leak at Cylinder 5R</t>
  </si>
  <si>
    <t>Conducted grounding of surface between engine frame and liner on cylinder A8</t>
  </si>
  <si>
    <t>Palinpinon 1 GPP</t>
  </si>
  <si>
    <t>Unit on emergency shutdown to rectify minor sticking issue with the Main Stop Valve</t>
  </si>
  <si>
    <t>Energy Development Corporation</t>
  </si>
  <si>
    <t>Malitbog Bottoming Cycle</t>
  </si>
  <si>
    <t>OEC7 was cut out to replace the erratic hydraulic pump HOP 504 and inspect the excited fan hub bot and nut</t>
  </si>
  <si>
    <t>BILECO
DORELCO
LEYECO III
LEYECO IV
LEYECO V
ESAMELCO</t>
  </si>
  <si>
    <t>1 MW
2 MW
1 MW 
1 MW
8 MW
6 MW</t>
  </si>
  <si>
    <t>Tripped due to generator bearing high temperature at A side</t>
  </si>
  <si>
    <t>Tripped due to generator bearing high temperature at B side</t>
  </si>
  <si>
    <t>Unable to Cut-in Due to severe water leak at JCW Header-In of CYL. #8</t>
  </si>
  <si>
    <t>Panay Power Corporation</t>
  </si>
  <si>
    <t>PPC 4 DPP</t>
  </si>
  <si>
    <t>Unit encountered issues in its generator, resulting in the unavailability of the unit.</t>
  </si>
  <si>
    <t>Therma Visayas, Inc.</t>
  </si>
  <si>
    <t>TVI CFPP</t>
  </si>
  <si>
    <t>Steam turbine bearing#1 vibration high</t>
  </si>
  <si>
    <t>CEBECO I
INEC 
VECO
AEC
NEPC</t>
  </si>
  <si>
    <t>2 MW
3 MW
45 MW
39 MW
20 MW</t>
  </si>
  <si>
    <t>DG Set forced outage due to abnormal sound at Cylinder A5</t>
  </si>
  <si>
    <t>Cane accumulation</t>
  </si>
  <si>
    <t>Auto tripped unit due to Turbo charger lube oil inlet pressure low</t>
  </si>
  <si>
    <t>Still under investigation</t>
  </si>
  <si>
    <t>Low exhaust steam pressure requirements of processhouse, insufficient sugarcane supply</t>
  </si>
  <si>
    <t>Biscom Inc.</t>
  </si>
  <si>
    <t>BISCOM BPP</t>
  </si>
  <si>
    <t>Low level of condensate water supplying TES boiler</t>
  </si>
  <si>
    <t>Upper Mahiao GPP</t>
  </si>
  <si>
    <t>UMPP Unit 3 was cut-out for reserve shutdown due to insufficient high pressure steam supply.</t>
  </si>
  <si>
    <t>Mahanagdong Topping Cycle - Site A</t>
  </si>
  <si>
    <t>MATP (MGATC) OEC 2 tripped with Generator Non Drive Bearing High Temperature indication</t>
  </si>
  <si>
    <t>UMPP Unit 4 is on reserved shutdown due to insufficient steam supply.</t>
  </si>
  <si>
    <t>STG bearing #1 vibration high</t>
  </si>
  <si>
    <t>Mahanagdong GPP</t>
  </si>
  <si>
    <t xml:space="preserve">MAPP (MGAPP) Unit 4 (Binary) tripped with speed governor trip indication. </t>
  </si>
  <si>
    <t>Unable to start due to loss of excitation voltage and abnormal sound at generator</t>
  </si>
  <si>
    <t>Amlan Hydroelectric Power Corporation</t>
  </si>
  <si>
    <t>Amlan HEPP</t>
  </si>
  <si>
    <t>Under Philippine Potamis Hydro Power Corp. with affiliations with the following:
1. Amlan Hydroelectric Power Corporation
2. Catuiran Hydropower Corporation
3. Sta. Clara Power Corporation</t>
  </si>
  <si>
    <t>North Negros Biopower, Inc.</t>
  </si>
  <si>
    <t>NNBP BPP</t>
  </si>
  <si>
    <t>Expected in Q2 2026</t>
  </si>
  <si>
    <t>Shutdown due to insufficient fuel following the end of harvest season</t>
  </si>
  <si>
    <t>Under Thomaslloyd CTI Asia Holdings PTE. LTD with affiliations with the following:
1. North Negros Biopower, Inc.
2. San Carlos Biopower, Inc.
3. South Negros Biopower, Inc.</t>
  </si>
  <si>
    <t>South Negros Biopower, Inc.</t>
  </si>
  <si>
    <t>SNBP BPP</t>
  </si>
  <si>
    <t>Shutdown due to insufficient fuel</t>
  </si>
  <si>
    <t>Under Decommissioning, with LOC dated 05 Mar 2026, effectivity is on 30 November 2026</t>
  </si>
  <si>
    <t>Unit offline as UMPP was put on Total Plant Shutdown to facilitate the immediate inspection of its Ormat Energy Converter (OEC) air-cooled condensers. For Decommissioning with ongoing evaluation of DOE (End of economic life)</t>
  </si>
  <si>
    <t>San Carlos Biopower, Inc.</t>
  </si>
  <si>
    <t>SCBP BPP</t>
  </si>
  <si>
    <t>The plant is temporarily offline while funding efforts are being undertaken to resume fuel collection and return the plant to full operation</t>
  </si>
  <si>
    <t xml:space="preserve">MERALCO </t>
  </si>
  <si>
    <t>20 MW</t>
  </si>
  <si>
    <t>NGCP tagged on outage since 2024 April. Upon verification, operating on house load since 24 April 2024</t>
  </si>
  <si>
    <t>Hawaiian Philippine Company</t>
  </si>
  <si>
    <t>HPC BPP</t>
  </si>
  <si>
    <t xml:space="preserve">Reported as Reserved Shutdown </t>
  </si>
  <si>
    <t>Unit is on standby since 2023 due to single boiler setup for both Unit 1 and 2</t>
  </si>
  <si>
    <t>Under Kanlaon Loney Holdings, Inc.</t>
  </si>
  <si>
    <t>San Carlos Bioenergy, Inc.</t>
  </si>
  <si>
    <t>SCBI BPP</t>
  </si>
  <si>
    <t>Not operational since May 2022
(Generating Facility is For Sale)</t>
  </si>
  <si>
    <t>No valid COC</t>
  </si>
  <si>
    <t>Under Roxas Holdings, Inc. with affiliations with the following:
1. Central Azucarera Don Pedro, Inc.
2. San Carlos Bioenergy, Inc.</t>
  </si>
  <si>
    <t>Janopol MHEPP</t>
  </si>
  <si>
    <t>Not operational since December 2021 due to Typhoon Odette</t>
  </si>
  <si>
    <t>LUZON</t>
  </si>
  <si>
    <t>DATE</t>
  </si>
  <si>
    <t>HOUR</t>
  </si>
  <si>
    <t>PRICE (PhP/MWh)</t>
  </si>
  <si>
    <t>ALERT</t>
  </si>
  <si>
    <t>MARKET INTERVENTION</t>
  </si>
  <si>
    <t>Customer Indicative AP (PhP/MWh)</t>
  </si>
  <si>
    <t>Marginal Plant during Alerts</t>
  </si>
  <si>
    <t>AP</t>
  </si>
  <si>
    <t>RED</t>
  </si>
  <si>
    <t>YES</t>
  </si>
  <si>
    <t>YELLOW</t>
  </si>
  <si>
    <t>NO</t>
  </si>
  <si>
    <t>Sta. Rita 1</t>
  </si>
  <si>
    <t>Sta. Rita 1 
Bauang 1</t>
  </si>
  <si>
    <t>Bauang 1</t>
  </si>
  <si>
    <t>Carmen DPP Units 1-3</t>
  </si>
  <si>
    <t>VISAYAS</t>
  </si>
  <si>
    <t>Southern Negros BESS</t>
  </si>
  <si>
    <t>Southern Negros BESS, Bohol DPP Unit 4, Bohol In-island DPP</t>
  </si>
  <si>
    <t>GNPK Units 1-3, Magdum Bunker Diesel Units 1 and 3, Therma Mobil 1 Unit 2</t>
  </si>
  <si>
    <t>Iligan DPP Units 1,8, and 10, Mapalad DPP, Sulzer DPP, Wartzila DPP, Villanueva BESS</t>
  </si>
  <si>
    <t>King - Jimenez Units 1-2, Ilijan DPP Units 7-10, PACERM, Villanueva BESS, Therma Mobil 2 Unit 2, Digos DPP</t>
  </si>
  <si>
    <t>WMPC Unit 10, GNPK Units 3-4, Therma Mobil 2 Unit 2</t>
  </si>
  <si>
    <t>GNPK Units 3-4, Therma Mobil 2 Unit 2, Therma Mobil 1 Unit 2</t>
  </si>
  <si>
    <t>Bohol DPP Unit 3</t>
  </si>
  <si>
    <t>Kabankalan BESS, Southern Negros BESS, Power Barge 101 Units 1-4</t>
  </si>
  <si>
    <t>WMPC Units 3 and 7, GNPK Unit 2, Therma Mobil 2 Unit 2, Therma Mobil 1 Unit 2, Magdum Bunker Diesel Unit 3</t>
  </si>
  <si>
    <t>GNPK Units 1-4, Therma Mobil 2 Unit 2, Therma Mobil 1 Unit 2</t>
  </si>
  <si>
    <t>GNPK Units 1-4</t>
  </si>
  <si>
    <t>Kabankalan BESS, Bohol In-island DPP, Power Barge 101 Units 1-4</t>
  </si>
  <si>
    <t>Jasaan BESS, NBPC, PACERM, Therma Mobil 2 Unit 1, Digos DPP</t>
  </si>
  <si>
    <t>Ilijan DPP Unit 10, PACERM, PeakPower San Francisco Unit 2, Therma Mobil 2 Unit 1, Digos DPP</t>
  </si>
  <si>
    <t>WMPC Units 1-2, 5, and 8, GNPK Units 3-4, Magdum Bunker Diesel Unit 1, Digos DPP</t>
  </si>
  <si>
    <t>PeakPower San Francisco Unit 1, Therma Mobil 2 Unit 1, Digos DPP</t>
  </si>
  <si>
    <t>Ilijan DPP Units 7-8 and 10-12, Wartzila DPP, PeakPower San Francisco Unit 2</t>
  </si>
  <si>
    <t>GNPK Units 3-4, Ilijan DPP Units 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</si>
</sst>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
    <numFmt numFmtId="165" formatCode="[$-409]mmmm\ d\,\ yyyy;@"/>
    <numFmt numFmtId="166" formatCode="[$-409]d\-mmm\-yy;@"/>
    <numFmt numFmtId="167" formatCode="[$-409]dd\-mmm\-yy;@"/>
    <numFmt numFmtId="168" formatCode="h:mm;@"/>
    <numFmt numFmtId="169" formatCode="0.0"/>
    <numFmt numFmtId="170" formatCode="_-* #,##0.00_-;\-* #,##0.00_-;_-* &quot;-&quot;??_-;_-@_-"/>
  </numFmts>
  <fonts count="28">
    <font>
      <sz val="11"/>
      <color theme="1"/>
      <name val="Aptos Narrow"/>
      <family val="2"/>
      <scheme val="minor"/>
    </font>
    <font>
      <sz val="11"/>
      <color rgb="FFFF0000"/>
      <name val="Aptos Narrow"/>
      <family val="2"/>
      <scheme val="minor"/>
    </font>
    <font>
      <b/>
      <sz val="16"/>
      <color theme="1"/>
      <name val="Aptos Narrow"/>
      <family val="2"/>
      <scheme val="minor"/>
    </font>
    <font>
      <b/>
      <sz val="12"/>
      <name val="Georgia"/>
      <family val="1"/>
    </font>
    <font>
      <b/>
      <sz val="12"/>
      <color theme="0"/>
      <name val="Georgia"/>
      <family val="1"/>
    </font>
    <font>
      <sz val="12"/>
      <name val="Georgia"/>
      <family val="1"/>
    </font>
    <font>
      <b/>
      <sz val="12"/>
      <color theme="1"/>
      <name val="Georgia"/>
      <family val="1"/>
    </font>
    <font>
      <sz val="12"/>
      <color rgb="FFFF0000"/>
      <name val="Georgia"/>
      <family val="1"/>
    </font>
    <font>
      <sz val="12"/>
      <color theme="1"/>
      <name val="Georgia"/>
      <family val="1"/>
    </font>
    <font>
      <b/>
      <sz val="9"/>
      <color indexed="81"/>
      <name val="Tahoma"/>
      <family val="2"/>
    </font>
    <font>
      <sz val="9"/>
      <color indexed="81"/>
      <name val="Tahoma"/>
      <family val="2"/>
    </font>
    <font>
      <b/>
      <sz val="16"/>
      <color theme="0"/>
      <name val="Georgia"/>
      <family val="1"/>
    </font>
    <font>
      <b/>
      <sz val="12"/>
      <color theme="1"/>
      <name val="Aptos Narrow"/>
      <family val="2"/>
      <scheme val="minor"/>
    </font>
    <font>
      <sz val="11"/>
      <color theme="1"/>
      <name val="Aptos Narrow"/>
      <family val="2"/>
      <scheme val="minor"/>
    </font>
    <font>
      <b/>
      <sz val="12"/>
      <color rgb="FFFFFFFF"/>
      <name val="Georgia"/>
      <family val="1"/>
    </font>
    <font>
      <b/>
      <sz val="10"/>
      <color rgb="FFFFFFFF"/>
      <name val="Georgia"/>
      <family val="1"/>
    </font>
    <font>
      <b/>
      <sz val="10"/>
      <color theme="0"/>
      <name val="Georgia"/>
      <family val="1"/>
    </font>
    <font>
      <sz val="8"/>
      <color theme="1"/>
      <name val="Georgia"/>
      <family val="1"/>
    </font>
    <font>
      <sz val="12"/>
      <color rgb="FF000000"/>
      <name val="Georgia"/>
      <family val="1"/>
    </font>
    <font>
      <b/>
      <sz val="12"/>
      <color rgb="FFFF0000"/>
      <name val="Georgia"/>
      <family val="1"/>
    </font>
    <font>
      <sz val="14"/>
      <color theme="1"/>
      <name val="Georgia"/>
      <family val="1"/>
    </font>
    <font>
      <u/>
      <sz val="8"/>
      <color rgb="FF000000"/>
      <name val="Georgia"/>
      <family val="1"/>
    </font>
    <font>
      <sz val="8"/>
      <color rgb="FF000000"/>
      <name val="Georgia"/>
      <family val="1"/>
    </font>
    <font>
      <b/>
      <sz val="11"/>
      <color theme="1"/>
      <name val="Tahoma"/>
      <family val="2"/>
    </font>
    <font>
      <b/>
      <sz val="11"/>
      <color theme="5"/>
      <name val="Tahoma"/>
      <family val="2"/>
    </font>
    <font>
      <sz val="11"/>
      <color theme="1"/>
      <name val="Tahoma"/>
      <family val="2"/>
    </font>
    <font>
      <sz val="11"/>
      <color rgb="FF000000"/>
      <name val="Tahoma"/>
      <family val="2"/>
    </font>
    <font>
      <sz val="11"/>
      <color rgb="FF000000"/>
      <name val="Georgia"/>
      <family val="1"/>
    </font>
  </fonts>
  <fills count="12">
    <fill>
      <patternFill patternType="none"/>
    </fill>
    <fill>
      <patternFill patternType="gray125"/>
    </fill>
    <fill>
      <patternFill patternType="solid">
        <fgColor theme="3" tint="9.9978637043366805E-2"/>
        <bgColor indexed="64"/>
      </patternFill>
    </fill>
    <fill>
      <patternFill patternType="solid">
        <fgColor rgb="FF00B0F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39997558519241921"/>
        <bgColor indexed="64"/>
      </patternFill>
    </fill>
    <fill>
      <patternFill patternType="solid">
        <fgColor rgb="FFFF9999"/>
        <bgColor indexed="64"/>
      </patternFill>
    </fill>
    <fill>
      <patternFill patternType="solid">
        <fgColor theme="8" tint="0.79998168889431442"/>
        <bgColor indexed="64"/>
      </patternFill>
    </fill>
    <fill>
      <patternFill patternType="solid">
        <fgColor rgb="FFFFFF99"/>
        <bgColor indexed="64"/>
      </patternFill>
    </fill>
    <fill>
      <patternFill patternType="solid">
        <fgColor theme="9"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43" fontId="13" fillId="0" borderId="0" applyFont="0" applyFill="0" applyBorder="0" applyAlignment="0" applyProtection="0"/>
  </cellStyleXfs>
  <cellXfs count="183">
    <xf numFmtId="0" fontId="0" fillId="0" borderId="0" xfId="0"/>
    <xf numFmtId="0" fontId="4" fillId="2" borderId="1" xfId="0" applyFont="1" applyFill="1" applyBorder="1" applyAlignment="1">
      <alignment horizontal="center" vertical="center"/>
    </xf>
    <xf numFmtId="0" fontId="5"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164" fontId="5" fillId="0" borderId="3" xfId="0" applyNumberFormat="1" applyFont="1" applyBorder="1" applyAlignment="1">
      <alignment horizontal="center" vertical="center" wrapText="1"/>
    </xf>
    <xf numFmtId="20" fontId="5" fillId="0" borderId="3" xfId="0" applyNumberFormat="1" applyFont="1" applyBorder="1" applyAlignment="1">
      <alignment horizontal="center" vertical="center" wrapText="1"/>
    </xf>
    <xf numFmtId="16" fontId="5" fillId="0" borderId="3" xfId="0" applyNumberFormat="1" applyFont="1" applyBorder="1" applyAlignment="1">
      <alignment horizontal="center" vertical="center" wrapText="1"/>
    </xf>
    <xf numFmtId="20" fontId="5" fillId="0" borderId="3" xfId="0" applyNumberFormat="1" applyFont="1" applyBorder="1" applyAlignment="1">
      <alignment horizontal="center" vertical="center"/>
    </xf>
    <xf numFmtId="20" fontId="5" fillId="3" borderId="3" xfId="0" applyNumberFormat="1" applyFont="1" applyFill="1" applyBorder="1" applyAlignment="1">
      <alignment horizontal="center" vertical="center" wrapText="1"/>
    </xf>
    <xf numFmtId="0" fontId="6" fillId="0" borderId="0" xfId="0" applyFont="1" applyAlignment="1">
      <alignment horizontal="center" vertical="center" wrapText="1"/>
    </xf>
    <xf numFmtId="167" fontId="5" fillId="0" borderId="3" xfId="0" applyNumberFormat="1" applyFont="1" applyBorder="1" applyAlignment="1">
      <alignment horizontal="center" vertical="center" wrapText="1"/>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20" fontId="5" fillId="0" borderId="1" xfId="0" applyNumberFormat="1" applyFont="1" applyBorder="1" applyAlignment="1">
      <alignment horizontal="center" vertical="center"/>
    </xf>
    <xf numFmtId="167" fontId="5" fillId="0" borderId="1" xfId="0" applyNumberFormat="1" applyFont="1" applyBorder="1" applyAlignment="1">
      <alignment horizontal="center" vertical="center" wrapText="1"/>
    </xf>
    <xf numFmtId="20" fontId="5" fillId="0" borderId="1" xfId="0" applyNumberFormat="1" applyFont="1" applyBorder="1" applyAlignment="1">
      <alignment horizontal="center" vertical="center" wrapText="1"/>
    </xf>
    <xf numFmtId="0" fontId="5" fillId="3" borderId="1"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6" fillId="0" borderId="0" xfId="0" applyFont="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xf numFmtId="166" fontId="5" fillId="0" borderId="1" xfId="0" applyNumberFormat="1" applyFont="1" applyBorder="1" applyAlignment="1">
      <alignment horizontal="center" vertical="center" wrapText="1"/>
    </xf>
    <xf numFmtId="20" fontId="5" fillId="3" borderId="0" xfId="0" applyNumberFormat="1" applyFont="1" applyFill="1" applyAlignment="1">
      <alignment horizontal="center" vertical="center" wrapText="1"/>
    </xf>
    <xf numFmtId="20" fontId="5" fillId="3" borderId="1" xfId="0" applyNumberFormat="1" applyFont="1" applyFill="1" applyBorder="1" applyAlignment="1">
      <alignment horizontal="center" vertical="center" wrapText="1"/>
    </xf>
    <xf numFmtId="164" fontId="3" fillId="0" borderId="0" xfId="0" applyNumberFormat="1" applyFont="1" applyAlignment="1">
      <alignment vertical="top" wrapText="1"/>
    </xf>
    <xf numFmtId="0" fontId="0" fillId="5" borderId="0" xfId="0" applyFill="1"/>
    <xf numFmtId="0" fontId="1" fillId="5" borderId="0" xfId="0" applyFont="1" applyFill="1"/>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5" fillId="0" borderId="3" xfId="0" applyFont="1" applyBorder="1" applyAlignment="1">
      <alignment horizontal="center" vertical="center"/>
    </xf>
    <xf numFmtId="15" fontId="5" fillId="0" borderId="3" xfId="0" applyNumberFormat="1" applyFont="1" applyBorder="1" applyAlignment="1">
      <alignment horizontal="center" vertical="center" wrapText="1"/>
    </xf>
    <xf numFmtId="20" fontId="5" fillId="0" borderId="5" xfId="0" applyNumberFormat="1" applyFont="1" applyBorder="1" applyAlignment="1">
      <alignment horizontal="center" vertical="center" wrapText="1"/>
    </xf>
    <xf numFmtId="168" fontId="5" fillId="0" borderId="1" xfId="0" applyNumberFormat="1" applyFont="1" applyBorder="1" applyAlignment="1">
      <alignment horizontal="center" vertical="center" wrapText="1"/>
    </xf>
    <xf numFmtId="0" fontId="5" fillId="0" borderId="7" xfId="0" applyFont="1" applyBorder="1" applyAlignment="1">
      <alignment horizontal="center" vertical="center" wrapText="1"/>
    </xf>
    <xf numFmtId="164" fontId="5" fillId="0" borderId="7" xfId="0" applyNumberFormat="1" applyFont="1" applyBorder="1" applyAlignment="1">
      <alignment horizontal="center" vertical="center" wrapText="1"/>
    </xf>
    <xf numFmtId="165" fontId="5" fillId="0" borderId="7" xfId="0" applyNumberFormat="1" applyFont="1" applyBorder="1" applyAlignment="1">
      <alignment horizontal="center" vertical="center" wrapText="1"/>
    </xf>
    <xf numFmtId="20" fontId="5" fillId="0" borderId="7" xfId="0" applyNumberFormat="1" applyFont="1" applyBorder="1" applyAlignment="1">
      <alignment horizontal="center" vertical="center"/>
    </xf>
    <xf numFmtId="16" fontId="5" fillId="0" borderId="1" xfId="0" applyNumberFormat="1" applyFont="1" applyBorder="1" applyAlignment="1">
      <alignment horizontal="center" vertical="center" wrapText="1"/>
    </xf>
    <xf numFmtId="165" fontId="5" fillId="0" borderId="3" xfId="0" applyNumberFormat="1" applyFont="1" applyBorder="1" applyAlignment="1">
      <alignment horizontal="center" vertical="center" wrapText="1"/>
    </xf>
    <xf numFmtId="2" fontId="5" fillId="0" borderId="3"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5" fontId="7" fillId="0" borderId="1" xfId="0" applyNumberFormat="1" applyFont="1" applyBorder="1" applyAlignment="1">
      <alignment vertical="center" wrapText="1"/>
    </xf>
    <xf numFmtId="20" fontId="7" fillId="0" borderId="1" xfId="0" applyNumberFormat="1" applyFont="1" applyBorder="1" applyAlignment="1">
      <alignment vertical="center" wrapText="1"/>
    </xf>
    <xf numFmtId="20" fontId="5" fillId="0" borderId="4"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15" fontId="5" fillId="0" borderId="1" xfId="0" applyNumberFormat="1" applyFont="1" applyBorder="1" applyAlignment="1">
      <alignment horizontal="center" vertical="center" wrapText="1"/>
    </xf>
    <xf numFmtId="165" fontId="5" fillId="0" borderId="6" xfId="0" applyNumberFormat="1" applyFont="1" applyBorder="1" applyAlignment="1">
      <alignment horizontal="center" vertical="center" wrapText="1"/>
    </xf>
    <xf numFmtId="20" fontId="5" fillId="0" borderId="7" xfId="0" applyNumberFormat="1" applyFont="1" applyBorder="1" applyAlignment="1">
      <alignment horizontal="center" vertical="center" wrapText="1"/>
    </xf>
    <xf numFmtId="15" fontId="5" fillId="0" borderId="7" xfId="0" applyNumberFormat="1" applyFont="1" applyBorder="1" applyAlignment="1">
      <alignment horizontal="center" vertical="center" wrapText="1"/>
    </xf>
    <xf numFmtId="15" fontId="5" fillId="0" borderId="8" xfId="0" applyNumberFormat="1" applyFont="1" applyBorder="1" applyAlignment="1">
      <alignment horizontal="center" vertical="center" wrapText="1"/>
    </xf>
    <xf numFmtId="20" fontId="5" fillId="0" borderId="9" xfId="0" applyNumberFormat="1" applyFont="1" applyBorder="1" applyAlignment="1">
      <alignment horizontal="center" vertical="center"/>
    </xf>
    <xf numFmtId="20" fontId="5" fillId="0" borderId="10" xfId="0" applyNumberFormat="1" applyFont="1" applyBorder="1" applyAlignment="1">
      <alignment horizontal="center" vertical="center" wrapText="1"/>
    </xf>
    <xf numFmtId="20" fontId="5" fillId="0" borderId="9" xfId="0" applyNumberFormat="1" applyFont="1" applyBorder="1" applyAlignment="1">
      <alignment horizontal="center" vertical="center" wrapText="1"/>
    </xf>
    <xf numFmtId="20" fontId="7" fillId="0" borderId="10" xfId="0" applyNumberFormat="1" applyFont="1" applyBorder="1" applyAlignment="1">
      <alignment vertical="center" wrapText="1"/>
    </xf>
    <xf numFmtId="20" fontId="5" fillId="0" borderId="10" xfId="0" applyNumberFormat="1" applyFont="1" applyBorder="1" applyAlignment="1">
      <alignment horizontal="center" vertical="center"/>
    </xf>
    <xf numFmtId="167" fontId="5" fillId="0" borderId="7" xfId="0" applyNumberFormat="1" applyFont="1" applyBorder="1" applyAlignment="1">
      <alignment horizontal="center" vertical="center" wrapText="1"/>
    </xf>
    <xf numFmtId="20" fontId="7" fillId="0" borderId="7" xfId="0" applyNumberFormat="1" applyFont="1" applyBorder="1" applyAlignment="1">
      <alignment vertical="center" wrapText="1"/>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3" xfId="0" applyFont="1" applyBorder="1" applyAlignment="1">
      <alignment horizontal="center" vertical="center" wrapText="1"/>
    </xf>
    <xf numFmtId="169" fontId="8" fillId="0" borderId="1" xfId="0" applyNumberFormat="1" applyFont="1" applyBorder="1" applyAlignment="1">
      <alignment horizontal="center" vertical="center"/>
    </xf>
    <xf numFmtId="0" fontId="7" fillId="0" borderId="1" xfId="0" applyFont="1" applyBorder="1" applyAlignment="1">
      <alignment horizontal="center" vertical="center"/>
    </xf>
    <xf numFmtId="167" fontId="5" fillId="6" borderId="1" xfId="0" applyNumberFormat="1" applyFont="1" applyFill="1" applyBorder="1" applyAlignment="1">
      <alignment horizontal="center" vertical="center" wrapText="1"/>
    </xf>
    <xf numFmtId="20" fontId="5" fillId="6" borderId="1" xfId="0" applyNumberFormat="1" applyFont="1" applyFill="1" applyBorder="1" applyAlignment="1">
      <alignment horizontal="center" vertical="center" wrapText="1"/>
    </xf>
    <xf numFmtId="2" fontId="8" fillId="0" borderId="1" xfId="0" applyNumberFormat="1" applyFont="1" applyBorder="1" applyAlignment="1">
      <alignment horizontal="center" vertical="center"/>
    </xf>
    <xf numFmtId="0" fontId="5" fillId="7"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20" fontId="5" fillId="7" borderId="1" xfId="0" applyNumberFormat="1" applyFont="1" applyFill="1" applyBorder="1" applyAlignment="1">
      <alignment horizontal="center" vertical="center" wrapText="1"/>
    </xf>
    <xf numFmtId="2"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center" vertical="center"/>
    </xf>
    <xf numFmtId="2" fontId="19" fillId="0" borderId="1" xfId="0" applyNumberFormat="1" applyFont="1" applyBorder="1" applyAlignment="1">
      <alignment horizontal="center" vertical="center"/>
    </xf>
    <xf numFmtId="2" fontId="20" fillId="0" borderId="1" xfId="0" applyNumberFormat="1" applyFont="1" applyBorder="1" applyAlignment="1">
      <alignment horizontal="center" vertical="center"/>
    </xf>
    <xf numFmtId="0" fontId="0" fillId="0" borderId="0" xfId="0" applyAlignment="1">
      <alignment horizontal="left"/>
    </xf>
    <xf numFmtId="0" fontId="17" fillId="0" borderId="1" xfId="0" applyFont="1" applyBorder="1" applyAlignment="1">
      <alignment horizontal="left" vertical="center" wrapText="1"/>
    </xf>
    <xf numFmtId="0" fontId="8" fillId="0" borderId="1" xfId="0" applyFont="1" applyBorder="1" applyAlignment="1">
      <alignment horizontal="left" vertical="center"/>
    </xf>
    <xf numFmtId="0" fontId="22" fillId="0" borderId="14" xfId="0" applyFont="1" applyBorder="1" applyAlignment="1">
      <alignment vertical="center" wrapText="1"/>
    </xf>
    <xf numFmtId="0" fontId="23" fillId="0" borderId="16" xfId="0" applyFont="1" applyBorder="1" applyAlignment="1">
      <alignment horizontal="center" vertical="center"/>
    </xf>
    <xf numFmtId="0" fontId="23" fillId="0" borderId="17" xfId="0" applyFont="1" applyBorder="1" applyAlignment="1">
      <alignment horizontal="center" vertical="center"/>
    </xf>
    <xf numFmtId="0" fontId="24" fillId="4" borderId="17" xfId="0" applyFont="1" applyFill="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5" fillId="0" borderId="3" xfId="0" applyFont="1" applyBorder="1" applyAlignment="1">
      <alignment horizontal="center" vertical="center"/>
    </xf>
    <xf numFmtId="43" fontId="24" fillId="4" borderId="3" xfId="1" applyFont="1" applyFill="1" applyBorder="1" applyAlignment="1">
      <alignment horizontal="center" vertical="center"/>
    </xf>
    <xf numFmtId="43" fontId="25" fillId="0" borderId="3" xfId="1" applyFont="1" applyBorder="1" applyAlignment="1">
      <alignment horizontal="center" vertical="center"/>
    </xf>
    <xf numFmtId="0" fontId="25" fillId="0" borderId="1" xfId="0" applyFont="1" applyBorder="1" applyAlignment="1">
      <alignment horizontal="center" vertical="center"/>
    </xf>
    <xf numFmtId="43" fontId="24" fillId="4" borderId="1" xfId="1" applyFont="1" applyFill="1" applyBorder="1" applyAlignment="1">
      <alignment horizontal="center" vertical="center"/>
    </xf>
    <xf numFmtId="0" fontId="23" fillId="8" borderId="1" xfId="0" applyFont="1" applyFill="1" applyBorder="1" applyAlignment="1">
      <alignment horizontal="center" vertical="center"/>
    </xf>
    <xf numFmtId="0" fontId="23" fillId="9" borderId="1" xfId="0" applyFont="1" applyFill="1" applyBorder="1" applyAlignment="1">
      <alignment horizontal="center" vertical="center"/>
    </xf>
    <xf numFmtId="43" fontId="25" fillId="0" borderId="1" xfId="1" applyFont="1" applyBorder="1" applyAlignment="1">
      <alignment horizontal="center" vertical="center"/>
    </xf>
    <xf numFmtId="0" fontId="25" fillId="0" borderId="22" xfId="0" applyFont="1" applyBorder="1" applyAlignment="1">
      <alignment horizontal="center" vertical="center"/>
    </xf>
    <xf numFmtId="0" fontId="23" fillId="10" borderId="1" xfId="0" applyFont="1" applyFill="1" applyBorder="1" applyAlignment="1">
      <alignment horizontal="center" vertical="center"/>
    </xf>
    <xf numFmtId="0" fontId="23" fillId="0" borderId="1" xfId="0" applyFont="1" applyBorder="1" applyAlignment="1">
      <alignment horizontal="center" vertical="center"/>
    </xf>
    <xf numFmtId="0" fontId="25" fillId="11" borderId="22" xfId="0" applyFont="1" applyFill="1" applyBorder="1" applyAlignment="1">
      <alignment horizontal="center" vertical="center"/>
    </xf>
    <xf numFmtId="170" fontId="26" fillId="0" borderId="1" xfId="0" applyNumberFormat="1" applyFont="1" applyBorder="1" applyAlignment="1">
      <alignment horizontal="center" vertical="center"/>
    </xf>
    <xf numFmtId="0" fontId="25" fillId="0" borderId="24" xfId="0" applyFont="1" applyBorder="1" applyAlignment="1">
      <alignment horizontal="center" vertical="center"/>
    </xf>
    <xf numFmtId="43" fontId="24" fillId="4" borderId="24" xfId="1" applyFont="1" applyFill="1" applyBorder="1" applyAlignment="1">
      <alignment horizontal="center" vertical="center"/>
    </xf>
    <xf numFmtId="0" fontId="23" fillId="10" borderId="24" xfId="0" applyFont="1" applyFill="1" applyBorder="1" applyAlignment="1">
      <alignment horizontal="center" vertical="center"/>
    </xf>
    <xf numFmtId="0" fontId="23" fillId="0" borderId="24" xfId="0" applyFont="1" applyBorder="1" applyAlignment="1">
      <alignment horizontal="center" vertical="center"/>
    </xf>
    <xf numFmtId="43" fontId="25" fillId="0" borderId="24" xfId="1" applyFont="1" applyBorder="1" applyAlignment="1">
      <alignment horizontal="center" vertical="center"/>
    </xf>
    <xf numFmtId="0" fontId="25" fillId="11" borderId="25" xfId="0" applyFont="1" applyFill="1" applyBorder="1" applyAlignment="1">
      <alignment horizontal="center" vertical="center"/>
    </xf>
    <xf numFmtId="0" fontId="25" fillId="0" borderId="0" xfId="0" applyFont="1"/>
    <xf numFmtId="0" fontId="23" fillId="10" borderId="3" xfId="0" applyFont="1" applyFill="1" applyBorder="1" applyAlignment="1">
      <alignment horizontal="center" vertical="center"/>
    </xf>
    <xf numFmtId="0" fontId="23" fillId="0" borderId="3" xfId="0" applyFont="1" applyBorder="1" applyAlignment="1">
      <alignment horizontal="center" vertical="center"/>
    </xf>
    <xf numFmtId="0" fontId="25" fillId="0" borderId="28" xfId="0" applyFont="1" applyBorder="1" applyAlignment="1">
      <alignment horizontal="center" vertical="center"/>
    </xf>
    <xf numFmtId="43" fontId="24" fillId="4" borderId="28" xfId="1" applyFont="1" applyFill="1" applyBorder="1" applyAlignment="1">
      <alignment horizontal="center" vertical="center"/>
    </xf>
    <xf numFmtId="0" fontId="23" fillId="8" borderId="28" xfId="0" applyFont="1" applyFill="1" applyBorder="1" applyAlignment="1">
      <alignment horizontal="center" vertical="center"/>
    </xf>
    <xf numFmtId="0" fontId="23" fillId="9" borderId="28" xfId="0" applyFont="1" applyFill="1" applyBorder="1" applyAlignment="1">
      <alignment horizontal="center" vertical="center"/>
    </xf>
    <xf numFmtId="43" fontId="25" fillId="0" borderId="28" xfId="1" applyFont="1" applyBorder="1" applyAlignment="1">
      <alignment horizontal="center" vertical="center"/>
    </xf>
    <xf numFmtId="0" fontId="25" fillId="0" borderId="29" xfId="0" applyFont="1" applyBorder="1" applyAlignment="1">
      <alignment horizontal="center" vertical="center"/>
    </xf>
    <xf numFmtId="0" fontId="23" fillId="8" borderId="24" xfId="0" applyFont="1" applyFill="1" applyBorder="1" applyAlignment="1">
      <alignment horizontal="center" vertical="center"/>
    </xf>
    <xf numFmtId="0" fontId="23" fillId="9" borderId="24" xfId="0" applyFont="1" applyFill="1" applyBorder="1" applyAlignment="1">
      <alignment horizontal="center" vertical="center"/>
    </xf>
    <xf numFmtId="0" fontId="25" fillId="0" borderId="25" xfId="0" applyFont="1" applyBorder="1" applyAlignment="1">
      <alignment horizontal="center" vertical="center"/>
    </xf>
    <xf numFmtId="0" fontId="25" fillId="11" borderId="20" xfId="0" applyFont="1" applyFill="1" applyBorder="1" applyAlignment="1">
      <alignment horizontal="center" vertical="center" wrapText="1"/>
    </xf>
    <xf numFmtId="43" fontId="24" fillId="4" borderId="28" xfId="1" applyFont="1" applyFill="1" applyBorder="1"/>
    <xf numFmtId="0" fontId="23" fillId="10" borderId="28" xfId="0" applyFont="1" applyFill="1" applyBorder="1" applyAlignment="1">
      <alignment horizontal="center" vertical="center"/>
    </xf>
    <xf numFmtId="0" fontId="23" fillId="0" borderId="28" xfId="0" applyFont="1" applyBorder="1" applyAlignment="1">
      <alignment horizontal="center" vertical="center"/>
    </xf>
    <xf numFmtId="0" fontId="25" fillId="11" borderId="29" xfId="0" applyFont="1" applyFill="1" applyBorder="1" applyAlignment="1">
      <alignment horizontal="center" vertical="center"/>
    </xf>
    <xf numFmtId="0" fontId="25" fillId="0" borderId="29" xfId="0" applyFont="1" applyBorder="1"/>
    <xf numFmtId="0" fontId="25" fillId="0" borderId="22" xfId="0" applyFont="1" applyBorder="1"/>
    <xf numFmtId="2" fontId="2" fillId="0" borderId="0" xfId="0" applyNumberFormat="1" applyFont="1"/>
    <xf numFmtId="2" fontId="0" fillId="0" borderId="0" xfId="0" applyNumberFormat="1"/>
    <xf numFmtId="2" fontId="4" fillId="2" borderId="1" xfId="0" applyNumberFormat="1" applyFont="1" applyFill="1" applyBorder="1" applyAlignment="1">
      <alignment horizontal="center" vertical="center"/>
    </xf>
    <xf numFmtId="2" fontId="5" fillId="0" borderId="3" xfId="0" applyNumberFormat="1" applyFont="1" applyBorder="1" applyAlignment="1">
      <alignment horizontal="center" vertical="center"/>
    </xf>
    <xf numFmtId="2" fontId="5" fillId="3" borderId="3" xfId="0" applyNumberFormat="1" applyFont="1" applyFill="1" applyBorder="1" applyAlignment="1">
      <alignment horizontal="center" vertical="center" wrapText="1"/>
    </xf>
    <xf numFmtId="2" fontId="6" fillId="0" borderId="0" xfId="0" applyNumberFormat="1" applyFont="1" applyAlignment="1">
      <alignment horizontal="center" vertical="center" wrapText="1"/>
    </xf>
    <xf numFmtId="2" fontId="5" fillId="0" borderId="13" xfId="0" applyNumberFormat="1" applyFont="1" applyBorder="1" applyAlignment="1">
      <alignment vertical="center" wrapText="1"/>
    </xf>
    <xf numFmtId="2" fontId="6" fillId="0" borderId="1" xfId="0" applyNumberFormat="1" applyFont="1" applyBorder="1" applyAlignment="1">
      <alignment horizontal="center" vertical="center"/>
    </xf>
    <xf numFmtId="16" fontId="5" fillId="0" borderId="4" xfId="0" applyNumberFormat="1" applyFont="1" applyBorder="1" applyAlignment="1">
      <alignment vertical="center" wrapText="1"/>
    </xf>
    <xf numFmtId="0" fontId="25" fillId="11" borderId="29" xfId="0" applyFont="1" applyFill="1" applyBorder="1" applyAlignment="1">
      <alignment horizontal="center" vertical="center" wrapText="1"/>
    </xf>
    <xf numFmtId="0" fontId="25" fillId="11" borderId="22" xfId="0" applyFont="1" applyFill="1" applyBorder="1" applyAlignment="1">
      <alignment horizontal="center" vertical="center" wrapText="1"/>
    </xf>
    <xf numFmtId="0" fontId="25" fillId="11" borderId="25" xfId="0" applyFont="1" applyFill="1" applyBorder="1" applyAlignment="1">
      <alignment horizontal="center" vertical="center" wrapText="1"/>
    </xf>
    <xf numFmtId="0" fontId="25" fillId="0" borderId="29" xfId="0" applyFont="1" applyBorder="1" applyAlignment="1">
      <alignment horizontal="center" vertical="center" wrapText="1"/>
    </xf>
    <xf numFmtId="0" fontId="25" fillId="0" borderId="22" xfId="0" applyFont="1" applyBorder="1" applyAlignment="1">
      <alignment horizontal="center" vertical="center" wrapText="1"/>
    </xf>
    <xf numFmtId="164" fontId="8" fillId="0" borderId="1" xfId="0" applyNumberFormat="1" applyFont="1" applyBorder="1" applyAlignment="1">
      <alignment horizontal="center" vertical="center"/>
    </xf>
    <xf numFmtId="2" fontId="8" fillId="0" borderId="10" xfId="0" applyNumberFormat="1" applyFont="1" applyBorder="1" applyAlignment="1">
      <alignment horizontal="center" vertical="center"/>
    </xf>
    <xf numFmtId="169" fontId="8" fillId="0" borderId="4" xfId="0" applyNumberFormat="1" applyFont="1" applyBorder="1" applyAlignment="1">
      <alignment horizontal="center" vertical="center"/>
    </xf>
    <xf numFmtId="2" fontId="8" fillId="0" borderId="13" xfId="0" applyNumberFormat="1" applyFont="1" applyBorder="1" applyAlignment="1">
      <alignment horizontal="center" vertical="center"/>
    </xf>
    <xf numFmtId="0" fontId="27" fillId="0" borderId="13" xfId="0" applyFont="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1" fillId="0" borderId="0" xfId="0" applyFont="1"/>
    <xf numFmtId="2"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2" fontId="11" fillId="2" borderId="1" xfId="0" applyNumberFormat="1" applyFont="1" applyFill="1" applyBorder="1" applyAlignment="1">
      <alignment horizontal="left" vertical="center"/>
    </xf>
    <xf numFmtId="2"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2" fontId="4" fillId="2" borderId="10" xfId="0" applyNumberFormat="1" applyFont="1" applyFill="1" applyBorder="1" applyAlignment="1">
      <alignment horizontal="center" vertical="center"/>
    </xf>
    <xf numFmtId="16" fontId="5" fillId="0" borderId="4" xfId="0" applyNumberFormat="1" applyFont="1" applyBorder="1" applyAlignment="1">
      <alignment horizontal="center" vertical="center" wrapText="1"/>
    </xf>
    <xf numFmtId="0" fontId="17" fillId="0" borderId="10" xfId="0" applyFont="1" applyBorder="1" applyAlignment="1">
      <alignment horizontal="left" vertical="center" wrapText="1"/>
    </xf>
    <xf numFmtId="0" fontId="8" fillId="0" borderId="10" xfId="0" applyFont="1" applyBorder="1" applyAlignment="1">
      <alignment horizontal="left" vertical="center" wrapText="1"/>
    </xf>
    <xf numFmtId="0" fontId="4" fillId="2" borderId="10"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2" fontId="14" fillId="2" borderId="2" xfId="0" applyNumberFormat="1" applyFont="1" applyFill="1" applyBorder="1" applyAlignment="1">
      <alignment horizontal="center" vertical="center" wrapText="1"/>
    </xf>
    <xf numFmtId="0" fontId="17" fillId="0" borderId="14" xfId="0" applyFont="1" applyBorder="1" applyAlignment="1">
      <alignment horizontal="left" vertical="center"/>
    </xf>
    <xf numFmtId="0" fontId="17" fillId="0" borderId="3" xfId="0" applyFont="1" applyBorder="1" applyAlignment="1">
      <alignment horizontal="left" vertical="center"/>
    </xf>
    <xf numFmtId="166" fontId="5" fillId="0" borderId="4" xfId="0" applyNumberFormat="1" applyFont="1" applyBorder="1" applyAlignment="1">
      <alignment horizontal="center" vertical="center" wrapText="1"/>
    </xf>
    <xf numFmtId="16" fontId="5" fillId="0" borderId="5" xfId="0" applyNumberFormat="1" applyFont="1" applyBorder="1" applyAlignment="1">
      <alignment horizontal="center" vertical="center" wrapText="1"/>
    </xf>
    <xf numFmtId="0" fontId="17" fillId="0" borderId="14" xfId="0" applyFont="1" applyBorder="1" applyAlignment="1">
      <alignment horizontal="left" vertical="center" wrapText="1"/>
    </xf>
    <xf numFmtId="0" fontId="22" fillId="0" borderId="14" xfId="0" applyFont="1" applyBorder="1" applyAlignment="1">
      <alignment horizontal="left" vertical="center" wrapText="1"/>
    </xf>
    <xf numFmtId="0" fontId="8" fillId="0" borderId="14" xfId="0" applyFont="1" applyBorder="1" applyAlignment="1">
      <alignment horizontal="left" vertical="center"/>
    </xf>
    <xf numFmtId="0" fontId="8" fillId="0" borderId="3" xfId="0" applyFont="1" applyBorder="1" applyAlignment="1">
      <alignment horizontal="left" vertical="center"/>
    </xf>
    <xf numFmtId="167" fontId="5" fillId="0" borderId="4" xfId="0" applyNumberFormat="1" applyFont="1" applyBorder="1" applyAlignment="1">
      <alignment horizontal="center" vertical="center" wrapText="1"/>
    </xf>
    <xf numFmtId="167" fontId="5" fillId="0" borderId="5" xfId="0" applyNumberFormat="1" applyFont="1" applyBorder="1" applyAlignment="1">
      <alignment horizontal="center" vertical="center" wrapText="1"/>
    </xf>
    <xf numFmtId="20" fontId="5" fillId="0" borderId="4" xfId="0" applyNumberFormat="1" applyFont="1" applyBorder="1" applyAlignment="1">
      <alignment horizontal="center" vertical="center" wrapText="1"/>
    </xf>
    <xf numFmtId="20" fontId="5" fillId="0" borderId="5" xfId="0" applyNumberFormat="1" applyFont="1" applyBorder="1" applyAlignment="1">
      <alignment horizontal="center" vertical="center" wrapText="1"/>
    </xf>
    <xf numFmtId="20" fontId="5" fillId="0" borderId="11" xfId="0" applyNumberFormat="1" applyFont="1" applyBorder="1" applyAlignment="1">
      <alignment horizontal="center" vertical="center" wrapText="1"/>
    </xf>
    <xf numFmtId="0" fontId="12" fillId="0" borderId="11" xfId="0" applyFont="1" applyBorder="1" applyAlignment="1">
      <alignment horizontal="left" vertical="top" wrapText="1"/>
    </xf>
    <xf numFmtId="164" fontId="3" fillId="0" borderId="11" xfId="0" applyNumberFormat="1" applyFont="1" applyBorder="1" applyAlignment="1">
      <alignment horizontal="left" vertical="top" wrapText="1"/>
    </xf>
    <xf numFmtId="164" fontId="3" fillId="0" borderId="12" xfId="0" applyNumberFormat="1" applyFont="1" applyBorder="1" applyAlignment="1">
      <alignment horizontal="left" vertical="top" wrapText="1"/>
    </xf>
    <xf numFmtId="0" fontId="11" fillId="2" borderId="1" xfId="0" applyFont="1" applyFill="1" applyBorder="1" applyAlignment="1">
      <alignment horizontal="left" vertical="center"/>
    </xf>
    <xf numFmtId="0" fontId="14" fillId="2" borderId="2"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5" xfId="0" applyFont="1" applyFill="1" applyBorder="1" applyAlignment="1">
      <alignment horizontal="center" vertical="center" wrapText="1"/>
    </xf>
    <xf numFmtId="0" fontId="8" fillId="0" borderId="10" xfId="0" applyFont="1" applyBorder="1" applyAlignment="1">
      <alignment horizontal="left" vertical="center"/>
    </xf>
    <xf numFmtId="0" fontId="17" fillId="0" borderId="3" xfId="0" applyFont="1" applyBorder="1" applyAlignment="1">
      <alignment horizontal="left" vertical="center" wrapText="1"/>
    </xf>
    <xf numFmtId="0" fontId="8" fillId="0" borderId="3" xfId="0" applyFont="1" applyBorder="1" applyAlignment="1">
      <alignment horizontal="left" vertical="center" wrapText="1"/>
    </xf>
    <xf numFmtId="16" fontId="25" fillId="0" borderId="27" xfId="0" applyNumberFormat="1" applyFont="1" applyBorder="1" applyAlignment="1">
      <alignment horizontal="center" vertical="center"/>
    </xf>
    <xf numFmtId="16" fontId="25" fillId="0" borderId="21" xfId="0" applyNumberFormat="1" applyFont="1" applyBorder="1" applyAlignment="1">
      <alignment horizontal="center" vertical="center"/>
    </xf>
    <xf numFmtId="16" fontId="25" fillId="0" borderId="23" xfId="0" applyNumberFormat="1" applyFont="1" applyBorder="1" applyAlignment="1">
      <alignment horizontal="center" vertical="center"/>
    </xf>
    <xf numFmtId="16" fontId="25" fillId="0" borderId="19" xfId="0" applyNumberFormat="1" applyFont="1" applyBorder="1" applyAlignment="1">
      <alignment horizontal="center" vertical="center"/>
    </xf>
    <xf numFmtId="0" fontId="23" fillId="0" borderId="26" xfId="0" applyFont="1" applyBorder="1" applyAlignment="1">
      <alignment horizontal="center"/>
    </xf>
  </cellXfs>
  <cellStyles count="2">
    <cellStyle name="Comma" xfId="1" builtinId="3"/>
    <cellStyle name="Normal" xfId="0" builtinId="0"/>
  </cellStyles>
  <dxfs count="20">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8D8EE-90E9-4AB4-8B0C-84EFE3C8F37C}">
  <sheetPr>
    <pageSetUpPr fitToPage="1"/>
  </sheetPr>
  <dimension ref="A1:Y101"/>
  <sheetViews>
    <sheetView tabSelected="1" view="pageBreakPreview" zoomScale="40" zoomScaleNormal="60" zoomScaleSheetLayoutView="40" workbookViewId="0">
      <pane xSplit="2" ySplit="5" topLeftCell="C45" activePane="bottomRight" state="frozen"/>
      <selection pane="bottomRight" activeCell="A48" sqref="A48"/>
      <selection pane="bottomLeft" activeCell="A6" sqref="A6"/>
      <selection pane="topRight" activeCell="C1" sqref="C1"/>
    </sheetView>
  </sheetViews>
  <sheetFormatPr defaultRowHeight="14.45"/>
  <cols>
    <col min="1" max="1" width="25.85546875" customWidth="1"/>
    <col min="2" max="2" width="30" bestFit="1" customWidth="1"/>
    <col min="3" max="3" width="32.7109375" customWidth="1"/>
    <col min="4" max="4" width="23.140625" bestFit="1" customWidth="1"/>
    <col min="5" max="5" width="22.7109375" customWidth="1"/>
    <col min="6" max="6" width="25.7109375" customWidth="1"/>
    <col min="7" max="8" width="18.85546875" customWidth="1"/>
    <col min="9" max="9" width="17" customWidth="1"/>
    <col min="10" max="10" width="20.7109375" customWidth="1"/>
    <col min="11" max="11" width="20.5703125" customWidth="1"/>
    <col min="12" max="12" width="20.5703125" style="121" customWidth="1"/>
    <col min="13" max="13" width="45.42578125" customWidth="1"/>
    <col min="14" max="14" width="30.7109375" customWidth="1"/>
    <col min="15" max="15" width="11.140625" customWidth="1"/>
    <col min="16" max="18" width="20.7109375" customWidth="1"/>
    <col min="20" max="23" width="20.7109375" customWidth="1"/>
    <col min="25" max="25" width="20.7109375" style="73" customWidth="1"/>
  </cols>
  <sheetData>
    <row r="1" spans="1:25" ht="21">
      <c r="A1" s="120"/>
      <c r="B1" s="121"/>
      <c r="C1" s="121"/>
      <c r="D1" s="121"/>
      <c r="E1" s="121"/>
      <c r="F1" s="121"/>
      <c r="G1" s="121"/>
      <c r="H1" s="121"/>
      <c r="I1" s="121"/>
      <c r="J1" s="121"/>
      <c r="K1" s="121"/>
      <c r="M1" s="121"/>
      <c r="N1" s="121"/>
      <c r="O1" s="121"/>
      <c r="P1" s="121"/>
      <c r="Q1" s="121"/>
      <c r="R1" s="121"/>
    </row>
    <row r="2" spans="1:25" ht="25.15" customHeight="1">
      <c r="A2" s="144" t="s">
        <v>0</v>
      </c>
      <c r="B2" s="144"/>
      <c r="C2" s="144"/>
      <c r="D2" s="144"/>
      <c r="E2" s="144"/>
      <c r="F2" s="144"/>
      <c r="G2" s="144"/>
      <c r="H2" s="144"/>
      <c r="I2" s="144"/>
      <c r="J2" s="144"/>
      <c r="K2" s="144"/>
      <c r="L2" s="144"/>
      <c r="M2" s="144"/>
      <c r="N2" s="144"/>
      <c r="O2" s="121"/>
      <c r="P2" s="121"/>
      <c r="Q2" s="121"/>
      <c r="R2" s="121"/>
    </row>
    <row r="3" spans="1:25" ht="34.15" customHeight="1">
      <c r="A3" s="142" t="s">
        <v>1</v>
      </c>
      <c r="B3" s="142" t="s">
        <v>2</v>
      </c>
      <c r="C3" s="142" t="s">
        <v>3</v>
      </c>
      <c r="D3" s="142" t="s">
        <v>4</v>
      </c>
      <c r="E3" s="145" t="s">
        <v>5</v>
      </c>
      <c r="F3" s="142" t="s">
        <v>6</v>
      </c>
      <c r="G3" s="142"/>
      <c r="H3" s="142" t="s">
        <v>7</v>
      </c>
      <c r="I3" s="142"/>
      <c r="J3" s="142" t="s">
        <v>8</v>
      </c>
      <c r="K3" s="142"/>
      <c r="L3" s="147" t="s">
        <v>9</v>
      </c>
      <c r="M3" s="122" t="s">
        <v>10</v>
      </c>
      <c r="N3" s="142" t="s">
        <v>11</v>
      </c>
      <c r="O3" s="121"/>
      <c r="P3" s="154" t="s">
        <v>12</v>
      </c>
      <c r="Q3" s="154"/>
      <c r="R3" s="154"/>
      <c r="T3" s="146" t="s">
        <v>13</v>
      </c>
      <c r="U3" s="146"/>
      <c r="V3" s="146" t="s">
        <v>14</v>
      </c>
      <c r="W3" s="146"/>
      <c r="Y3" s="151" t="s">
        <v>15</v>
      </c>
    </row>
    <row r="4" spans="1:25" ht="25.15" customHeight="1">
      <c r="A4" s="143"/>
      <c r="B4" s="143"/>
      <c r="C4" s="143"/>
      <c r="D4" s="143"/>
      <c r="E4" s="146"/>
      <c r="F4" s="143" t="s">
        <v>16</v>
      </c>
      <c r="G4" s="143"/>
      <c r="H4" s="143"/>
      <c r="I4" s="143"/>
      <c r="J4" s="143" t="s">
        <v>16</v>
      </c>
      <c r="K4" s="143"/>
      <c r="L4" s="147"/>
      <c r="M4" s="1" t="s">
        <v>16</v>
      </c>
      <c r="N4" s="143"/>
      <c r="P4" s="146" t="s">
        <v>17</v>
      </c>
      <c r="Q4" s="152" t="s">
        <v>18</v>
      </c>
      <c r="R4" s="153" t="s">
        <v>19</v>
      </c>
      <c r="T4" s="146" t="s">
        <v>20</v>
      </c>
      <c r="U4" s="146" t="s">
        <v>21</v>
      </c>
      <c r="V4" s="146" t="s">
        <v>22</v>
      </c>
      <c r="W4" s="146" t="s">
        <v>21</v>
      </c>
      <c r="Y4" s="151"/>
    </row>
    <row r="5" spans="1:25" ht="25.15" customHeight="1">
      <c r="A5" s="143"/>
      <c r="B5" s="143"/>
      <c r="C5" s="143"/>
      <c r="D5" s="143"/>
      <c r="E5" s="146"/>
      <c r="F5" s="1" t="s">
        <v>23</v>
      </c>
      <c r="G5" s="1" t="s">
        <v>24</v>
      </c>
      <c r="H5" s="1" t="s">
        <v>25</v>
      </c>
      <c r="I5" s="1" t="s">
        <v>26</v>
      </c>
      <c r="J5" s="1" t="s">
        <v>27</v>
      </c>
      <c r="K5" s="1" t="s">
        <v>28</v>
      </c>
      <c r="L5" s="147"/>
      <c r="M5" s="1"/>
      <c r="N5" s="143"/>
      <c r="P5" s="146"/>
      <c r="Q5" s="152"/>
      <c r="R5" s="153"/>
      <c r="T5" s="146"/>
      <c r="U5" s="146"/>
      <c r="V5" s="146"/>
      <c r="W5" s="146"/>
      <c r="Y5" s="151"/>
    </row>
    <row r="6" spans="1:25" ht="52.5" customHeight="1">
      <c r="A6" s="11" t="s">
        <v>29</v>
      </c>
      <c r="B6" s="33" t="s">
        <v>30</v>
      </c>
      <c r="C6" s="33" t="s">
        <v>31</v>
      </c>
      <c r="D6" s="33" t="s">
        <v>32</v>
      </c>
      <c r="E6" s="34">
        <v>6</v>
      </c>
      <c r="F6" s="35">
        <v>46160</v>
      </c>
      <c r="G6" s="36">
        <v>0.44236111111111109</v>
      </c>
      <c r="H6" s="37">
        <v>46167</v>
      </c>
      <c r="I6" s="15">
        <v>0.99930555555555556</v>
      </c>
      <c r="J6" s="35"/>
      <c r="K6" s="15"/>
      <c r="L6" s="44" t="s">
        <v>33</v>
      </c>
      <c r="M6" s="15" t="s">
        <v>34</v>
      </c>
      <c r="N6" s="11" t="s">
        <v>35</v>
      </c>
      <c r="P6" s="28">
        <v>7</v>
      </c>
      <c r="Q6" s="69">
        <v>87.31</v>
      </c>
      <c r="R6" s="70">
        <f t="shared" ref="R6:R16" si="0">Q6-P6</f>
        <v>80.31</v>
      </c>
      <c r="T6" s="28" t="s">
        <v>36</v>
      </c>
      <c r="U6" s="28" t="s">
        <v>36</v>
      </c>
      <c r="V6" s="28" t="s">
        <v>36</v>
      </c>
      <c r="W6" s="28" t="s">
        <v>36</v>
      </c>
      <c r="Y6" s="74" t="s">
        <v>37</v>
      </c>
    </row>
    <row r="7" spans="1:25" ht="60" customHeight="1">
      <c r="A7" s="3" t="s">
        <v>29</v>
      </c>
      <c r="B7" s="11" t="s">
        <v>38</v>
      </c>
      <c r="C7" s="11" t="s">
        <v>39</v>
      </c>
      <c r="D7" s="11" t="s">
        <v>40</v>
      </c>
      <c r="E7" s="12">
        <v>10.497999999999999</v>
      </c>
      <c r="F7" s="38">
        <v>46159</v>
      </c>
      <c r="G7" s="5">
        <v>0.70902777777777781</v>
      </c>
      <c r="H7" s="6"/>
      <c r="I7" s="5"/>
      <c r="J7" s="38">
        <v>46160</v>
      </c>
      <c r="K7" s="5">
        <v>0.35902777777777778</v>
      </c>
      <c r="L7" s="44">
        <f>((J7+K7)-(F7+G7))*24</f>
        <v>15.600000000034925</v>
      </c>
      <c r="M7" s="2" t="s">
        <v>41</v>
      </c>
      <c r="N7" s="3" t="s">
        <v>42</v>
      </c>
      <c r="P7" s="28" t="s">
        <v>33</v>
      </c>
      <c r="Q7" s="28" t="s">
        <v>33</v>
      </c>
      <c r="R7" s="28" t="s">
        <v>33</v>
      </c>
      <c r="T7" s="28" t="s">
        <v>36</v>
      </c>
      <c r="U7" s="28" t="s">
        <v>36</v>
      </c>
      <c r="V7" s="28" t="s">
        <v>36</v>
      </c>
      <c r="W7" s="28" t="s">
        <v>36</v>
      </c>
      <c r="Y7" s="74" t="s">
        <v>43</v>
      </c>
    </row>
    <row r="8" spans="1:25" ht="60" customHeight="1">
      <c r="A8" s="3" t="s">
        <v>29</v>
      </c>
      <c r="B8" s="3" t="s">
        <v>44</v>
      </c>
      <c r="C8" s="3" t="s">
        <v>45</v>
      </c>
      <c r="D8" s="3" t="s">
        <v>40</v>
      </c>
      <c r="E8" s="4">
        <v>0.6</v>
      </c>
      <c r="F8" s="38">
        <v>46159</v>
      </c>
      <c r="G8" s="5">
        <v>0.45277777777777778</v>
      </c>
      <c r="H8" s="148" t="s">
        <v>46</v>
      </c>
      <c r="I8" s="148"/>
      <c r="J8" s="38"/>
      <c r="K8" s="5"/>
      <c r="L8" s="44" t="s">
        <v>33</v>
      </c>
      <c r="M8" s="2" t="s">
        <v>41</v>
      </c>
      <c r="N8" s="3" t="s">
        <v>42</v>
      </c>
      <c r="P8" s="28" t="s">
        <v>33</v>
      </c>
      <c r="Q8" s="28" t="s">
        <v>33</v>
      </c>
      <c r="R8" s="28" t="s">
        <v>33</v>
      </c>
      <c r="T8" s="28" t="s">
        <v>36</v>
      </c>
      <c r="U8" s="28" t="s">
        <v>36</v>
      </c>
      <c r="V8" s="28" t="s">
        <v>36</v>
      </c>
      <c r="W8" s="28" t="s">
        <v>36</v>
      </c>
      <c r="Y8" s="149" t="s">
        <v>43</v>
      </c>
    </row>
    <row r="9" spans="1:25" ht="60" customHeight="1">
      <c r="A9" s="3" t="s">
        <v>29</v>
      </c>
      <c r="B9" s="3" t="s">
        <v>44</v>
      </c>
      <c r="C9" s="3" t="s">
        <v>45</v>
      </c>
      <c r="D9" s="3" t="s">
        <v>40</v>
      </c>
      <c r="E9" s="4">
        <v>0.6</v>
      </c>
      <c r="F9" s="38">
        <v>46159</v>
      </c>
      <c r="G9" s="5">
        <v>0.44305555555555554</v>
      </c>
      <c r="H9" s="6"/>
      <c r="I9" s="5"/>
      <c r="J9" s="38">
        <v>46159</v>
      </c>
      <c r="K9" s="5">
        <v>0.45277777777777778</v>
      </c>
      <c r="L9" s="44">
        <f>((J9+K9)-(F9+G9))*24</f>
        <v>0.23333333322079852</v>
      </c>
      <c r="M9" s="3" t="s">
        <v>47</v>
      </c>
      <c r="N9" s="3" t="s">
        <v>42</v>
      </c>
      <c r="P9" s="28" t="s">
        <v>33</v>
      </c>
      <c r="Q9" s="28" t="s">
        <v>33</v>
      </c>
      <c r="R9" s="28" t="s">
        <v>33</v>
      </c>
      <c r="T9" s="28" t="s">
        <v>36</v>
      </c>
      <c r="U9" s="28" t="s">
        <v>36</v>
      </c>
      <c r="V9" s="28" t="s">
        <v>36</v>
      </c>
      <c r="W9" s="28" t="s">
        <v>36</v>
      </c>
      <c r="Y9" s="149"/>
    </row>
    <row r="10" spans="1:25" ht="60" customHeight="1">
      <c r="A10" s="3" t="s">
        <v>29</v>
      </c>
      <c r="B10" s="3" t="s">
        <v>48</v>
      </c>
      <c r="C10" s="3" t="s">
        <v>49</v>
      </c>
      <c r="D10" s="3" t="s">
        <v>50</v>
      </c>
      <c r="E10" s="4">
        <v>442.85</v>
      </c>
      <c r="F10" s="38">
        <v>46159</v>
      </c>
      <c r="G10" s="5">
        <v>0.20833333333333334</v>
      </c>
      <c r="H10" s="6"/>
      <c r="I10" s="5"/>
      <c r="J10" s="38">
        <v>46159</v>
      </c>
      <c r="K10" s="5">
        <v>0.52500000000000002</v>
      </c>
      <c r="L10" s="44">
        <f>((J10+K10)-(F10+G10))*24</f>
        <v>7.5999999999767169</v>
      </c>
      <c r="M10" s="3" t="s">
        <v>51</v>
      </c>
      <c r="N10" s="3" t="s">
        <v>52</v>
      </c>
      <c r="P10" s="28">
        <v>7.7</v>
      </c>
      <c r="Q10" s="28">
        <v>5.72</v>
      </c>
      <c r="R10" s="28">
        <f t="shared" si="0"/>
        <v>-1.9800000000000004</v>
      </c>
      <c r="T10" s="28" t="s">
        <v>36</v>
      </c>
      <c r="U10" s="28" t="s">
        <v>36</v>
      </c>
      <c r="V10" s="28" t="s">
        <v>36</v>
      </c>
      <c r="W10" s="28" t="s">
        <v>36</v>
      </c>
      <c r="Y10" s="74" t="s">
        <v>53</v>
      </c>
    </row>
    <row r="11" spans="1:25" ht="60" customHeight="1">
      <c r="A11" s="39" t="s">
        <v>29</v>
      </c>
      <c r="B11" s="39" t="s">
        <v>44</v>
      </c>
      <c r="C11" s="39" t="s">
        <v>54</v>
      </c>
      <c r="D11" s="39" t="s">
        <v>32</v>
      </c>
      <c r="E11" s="39">
        <v>1.2</v>
      </c>
      <c r="F11" s="38">
        <v>46159</v>
      </c>
      <c r="G11" s="123">
        <v>0.12430555555555556</v>
      </c>
      <c r="H11" s="126"/>
      <c r="I11" s="126"/>
      <c r="J11" s="38">
        <v>46159</v>
      </c>
      <c r="K11" s="7">
        <v>0.79236111111111107</v>
      </c>
      <c r="L11" s="44">
        <f>((J11+K11)-(F11+G11))*24</f>
        <v>16.03333333338378</v>
      </c>
      <c r="M11" s="124" t="s">
        <v>55</v>
      </c>
      <c r="N11" s="39" t="s">
        <v>42</v>
      </c>
      <c r="O11" s="125"/>
      <c r="P11" s="60">
        <v>6.8</v>
      </c>
      <c r="Q11" s="64">
        <v>132.01458333333301</v>
      </c>
      <c r="R11" s="127">
        <f t="shared" si="0"/>
        <v>125.21458333333301</v>
      </c>
      <c r="T11" s="28" t="s">
        <v>36</v>
      </c>
      <c r="U11" s="28" t="s">
        <v>36</v>
      </c>
      <c r="V11" s="28" t="s">
        <v>36</v>
      </c>
      <c r="W11" s="28" t="s">
        <v>36</v>
      </c>
      <c r="Y11" s="149" t="s">
        <v>43</v>
      </c>
    </row>
    <row r="12" spans="1:25" ht="60" customHeight="1">
      <c r="A12" s="3" t="s">
        <v>29</v>
      </c>
      <c r="B12" s="3" t="s">
        <v>44</v>
      </c>
      <c r="C12" s="3" t="s">
        <v>54</v>
      </c>
      <c r="D12" s="3" t="s">
        <v>56</v>
      </c>
      <c r="E12" s="39">
        <v>1.2</v>
      </c>
      <c r="F12" s="38">
        <v>46159</v>
      </c>
      <c r="G12" s="7">
        <v>0.11319444444444444</v>
      </c>
      <c r="H12" s="128"/>
      <c r="I12" s="128"/>
      <c r="J12" s="38">
        <v>46159</v>
      </c>
      <c r="K12" s="7">
        <v>0.80763888888888891</v>
      </c>
      <c r="L12" s="44">
        <f>((J12+K12)-(F12+G12))*24</f>
        <v>16.666666666686069</v>
      </c>
      <c r="M12" s="8" t="s">
        <v>55</v>
      </c>
      <c r="N12" s="3" t="s">
        <v>42</v>
      </c>
      <c r="O12" s="9"/>
      <c r="P12" s="28">
        <v>6.8</v>
      </c>
      <c r="Q12" s="64">
        <v>142.954166666666</v>
      </c>
      <c r="R12" s="64">
        <f t="shared" si="0"/>
        <v>136.15416666666599</v>
      </c>
      <c r="T12" s="28" t="s">
        <v>36</v>
      </c>
      <c r="U12" s="28" t="s">
        <v>36</v>
      </c>
      <c r="V12" s="28" t="s">
        <v>36</v>
      </c>
      <c r="W12" s="28" t="s">
        <v>36</v>
      </c>
      <c r="Y12" s="149"/>
    </row>
    <row r="13" spans="1:25" ht="60" customHeight="1">
      <c r="A13" s="3" t="s">
        <v>29</v>
      </c>
      <c r="B13" s="3" t="s">
        <v>57</v>
      </c>
      <c r="C13" s="3" t="s">
        <v>58</v>
      </c>
      <c r="D13" s="3" t="s">
        <v>56</v>
      </c>
      <c r="E13" s="4">
        <v>15</v>
      </c>
      <c r="F13" s="38">
        <v>46158</v>
      </c>
      <c r="G13" s="5">
        <v>0.53472222222222221</v>
      </c>
      <c r="H13" s="6"/>
      <c r="I13" s="5"/>
      <c r="J13" s="38">
        <v>46158</v>
      </c>
      <c r="K13" s="5">
        <v>0.80902777777777779</v>
      </c>
      <c r="L13" s="44">
        <f>((J13+K13)-(F13+G13))*24</f>
        <v>6.5833333334885538</v>
      </c>
      <c r="M13" s="3" t="s">
        <v>59</v>
      </c>
      <c r="N13" s="3" t="s">
        <v>60</v>
      </c>
      <c r="P13" s="60">
        <v>14</v>
      </c>
      <c r="Q13" s="28">
        <v>1.79</v>
      </c>
      <c r="R13" s="28">
        <f t="shared" si="0"/>
        <v>-12.21</v>
      </c>
      <c r="T13" s="28" t="s">
        <v>36</v>
      </c>
      <c r="U13" s="28" t="s">
        <v>36</v>
      </c>
      <c r="V13" s="28" t="s">
        <v>61</v>
      </c>
      <c r="W13" s="28">
        <v>110</v>
      </c>
      <c r="Y13" s="74" t="s">
        <v>62</v>
      </c>
    </row>
    <row r="14" spans="1:25" ht="60" customHeight="1">
      <c r="A14" s="3" t="s">
        <v>29</v>
      </c>
      <c r="B14" s="3" t="s">
        <v>63</v>
      </c>
      <c r="C14" s="3" t="s">
        <v>64</v>
      </c>
      <c r="D14" s="3" t="s">
        <v>40</v>
      </c>
      <c r="E14" s="4">
        <v>37.5</v>
      </c>
      <c r="F14" s="38">
        <v>46158</v>
      </c>
      <c r="G14" s="7">
        <v>0.33680555555555558</v>
      </c>
      <c r="H14" s="10"/>
      <c r="I14" s="5"/>
      <c r="J14" s="38">
        <v>46158</v>
      </c>
      <c r="K14" s="5">
        <v>0.51111111111111107</v>
      </c>
      <c r="L14" s="44">
        <f>((J14+K14)-(F14+G14))*24</f>
        <v>4.1833333333488554</v>
      </c>
      <c r="M14" s="66" t="s">
        <v>65</v>
      </c>
      <c r="N14" s="3" t="s">
        <v>42</v>
      </c>
      <c r="P14" s="28" t="s">
        <v>33</v>
      </c>
      <c r="Q14" s="28" t="s">
        <v>33</v>
      </c>
      <c r="R14" s="28" t="s">
        <v>33</v>
      </c>
      <c r="T14" s="28" t="s">
        <v>66</v>
      </c>
      <c r="U14" s="28">
        <v>7.5</v>
      </c>
      <c r="V14" s="28" t="s">
        <v>67</v>
      </c>
      <c r="W14" s="28">
        <v>23</v>
      </c>
      <c r="Y14" s="150" t="s">
        <v>43</v>
      </c>
    </row>
    <row r="15" spans="1:25" ht="60" customHeight="1">
      <c r="A15" s="11" t="s">
        <v>29</v>
      </c>
      <c r="B15" s="11" t="s">
        <v>63</v>
      </c>
      <c r="C15" s="11" t="s">
        <v>64</v>
      </c>
      <c r="D15" s="11" t="s">
        <v>68</v>
      </c>
      <c r="E15" s="12">
        <v>37.5</v>
      </c>
      <c r="F15" s="40">
        <v>46158</v>
      </c>
      <c r="G15" s="13">
        <v>0.33402777777777776</v>
      </c>
      <c r="H15" s="14">
        <v>46167</v>
      </c>
      <c r="I15" s="15">
        <v>0.99930555555555556</v>
      </c>
      <c r="J15" s="40"/>
      <c r="K15" s="15"/>
      <c r="L15" s="44" t="s">
        <v>33</v>
      </c>
      <c r="M15" s="65" t="s">
        <v>69</v>
      </c>
      <c r="N15" s="11" t="s">
        <v>42</v>
      </c>
      <c r="P15" s="28">
        <v>6.8</v>
      </c>
      <c r="Q15" s="28">
        <v>21.94</v>
      </c>
      <c r="R15" s="70">
        <f t="shared" si="0"/>
        <v>15.14</v>
      </c>
      <c r="T15" s="28" t="s">
        <v>66</v>
      </c>
      <c r="U15" s="28">
        <v>7.5</v>
      </c>
      <c r="V15" s="28" t="s">
        <v>67</v>
      </c>
      <c r="W15" s="28">
        <v>23</v>
      </c>
      <c r="Y15" s="150"/>
    </row>
    <row r="16" spans="1:25" ht="60" customHeight="1">
      <c r="A16" s="11" t="s">
        <v>29</v>
      </c>
      <c r="B16" s="11" t="s">
        <v>63</v>
      </c>
      <c r="C16" s="11" t="s">
        <v>64</v>
      </c>
      <c r="D16" s="11" t="s">
        <v>32</v>
      </c>
      <c r="E16" s="12">
        <v>37.5</v>
      </c>
      <c r="F16" s="40">
        <v>46158</v>
      </c>
      <c r="G16" s="13">
        <v>0.33402777777777776</v>
      </c>
      <c r="H16" s="14"/>
      <c r="I16" s="15"/>
      <c r="J16" s="40">
        <v>46158</v>
      </c>
      <c r="K16" s="15">
        <v>0.70902777777777781</v>
      </c>
      <c r="L16" s="44">
        <f>((J16+K16)-(F16+G16))*24</f>
        <v>9</v>
      </c>
      <c r="M16" s="65" t="s">
        <v>70</v>
      </c>
      <c r="N16" s="11" t="s">
        <v>42</v>
      </c>
      <c r="P16" s="28">
        <v>6.8</v>
      </c>
      <c r="Q16" s="28">
        <v>26.77</v>
      </c>
      <c r="R16" s="70">
        <f t="shared" si="0"/>
        <v>19.97</v>
      </c>
      <c r="T16" s="28" t="s">
        <v>66</v>
      </c>
      <c r="U16" s="28">
        <v>7.5</v>
      </c>
      <c r="V16" s="28" t="s">
        <v>67</v>
      </c>
      <c r="W16" s="28">
        <v>23</v>
      </c>
      <c r="Y16" s="150"/>
    </row>
    <row r="17" spans="1:25" ht="60" customHeight="1">
      <c r="A17" s="11" t="s">
        <v>29</v>
      </c>
      <c r="B17" s="11" t="s">
        <v>38</v>
      </c>
      <c r="C17" s="11" t="s">
        <v>39</v>
      </c>
      <c r="D17" s="11" t="s">
        <v>40</v>
      </c>
      <c r="E17" s="12">
        <v>10.497999999999999</v>
      </c>
      <c r="F17" s="40">
        <v>46158</v>
      </c>
      <c r="G17" s="15">
        <v>0.12847222222222221</v>
      </c>
      <c r="H17" s="37"/>
      <c r="I17" s="15"/>
      <c r="J17" s="40">
        <v>46158</v>
      </c>
      <c r="K17" s="15">
        <v>0.54861111111111116</v>
      </c>
      <c r="L17" s="44">
        <f>((J17+K17)-(F17+G17))*24</f>
        <v>10.083333333372138</v>
      </c>
      <c r="M17" s="16" t="s">
        <v>41</v>
      </c>
      <c r="N17" s="11" t="s">
        <v>42</v>
      </c>
      <c r="P17" s="28" t="s">
        <v>33</v>
      </c>
      <c r="Q17" s="28" t="s">
        <v>33</v>
      </c>
      <c r="R17" s="28" t="s">
        <v>33</v>
      </c>
      <c r="T17" s="28" t="s">
        <v>36</v>
      </c>
      <c r="U17" s="28" t="s">
        <v>36</v>
      </c>
      <c r="V17" s="28" t="s">
        <v>36</v>
      </c>
      <c r="W17" s="28" t="s">
        <v>36</v>
      </c>
      <c r="Y17" s="150"/>
    </row>
    <row r="18" spans="1:25" ht="60" customHeight="1">
      <c r="A18" s="11" t="s">
        <v>29</v>
      </c>
      <c r="B18" s="11" t="s">
        <v>63</v>
      </c>
      <c r="C18" s="11" t="s">
        <v>71</v>
      </c>
      <c r="D18" s="11" t="s">
        <v>32</v>
      </c>
      <c r="E18" s="12">
        <v>35</v>
      </c>
      <c r="F18" s="40">
        <v>46158</v>
      </c>
      <c r="G18" s="13">
        <v>2.0833333333333333E-3</v>
      </c>
      <c r="H18" s="14"/>
      <c r="I18" s="15"/>
      <c r="J18" s="40">
        <v>46158</v>
      </c>
      <c r="K18" s="15">
        <v>0.99583333333333335</v>
      </c>
      <c r="L18" s="44">
        <f>((J18+K18)-(F18+G18))*24</f>
        <v>23.850000000034925</v>
      </c>
      <c r="M18" s="16" t="s">
        <v>72</v>
      </c>
      <c r="N18" s="11" t="s">
        <v>42</v>
      </c>
      <c r="P18" s="28">
        <v>6.8</v>
      </c>
      <c r="Q18" s="28">
        <v>14.9</v>
      </c>
      <c r="R18" s="70">
        <f>Q18-P18</f>
        <v>8.1000000000000014</v>
      </c>
      <c r="T18" s="28" t="s">
        <v>66</v>
      </c>
      <c r="U18" s="28">
        <v>7.5</v>
      </c>
      <c r="V18" s="27" t="s">
        <v>73</v>
      </c>
      <c r="W18" s="28">
        <v>34</v>
      </c>
      <c r="Y18" s="150"/>
    </row>
    <row r="19" spans="1:25" ht="60" customHeight="1">
      <c r="A19" s="11" t="s">
        <v>29</v>
      </c>
      <c r="B19" s="11" t="s">
        <v>63</v>
      </c>
      <c r="C19" s="11" t="s">
        <v>71</v>
      </c>
      <c r="D19" s="11" t="s">
        <v>40</v>
      </c>
      <c r="E19" s="12">
        <v>35</v>
      </c>
      <c r="F19" s="40">
        <v>46158</v>
      </c>
      <c r="G19" s="13">
        <v>1.3888888888888889E-3</v>
      </c>
      <c r="H19" s="14"/>
      <c r="I19" s="15"/>
      <c r="J19" s="40">
        <v>46158</v>
      </c>
      <c r="K19" s="15">
        <v>0.99583333333333335</v>
      </c>
      <c r="L19" s="44">
        <f>((J19+K19)-(F19+G19))*24</f>
        <v>23.866666666755918</v>
      </c>
      <c r="M19" s="16" t="s">
        <v>72</v>
      </c>
      <c r="N19" s="11" t="s">
        <v>42</v>
      </c>
      <c r="P19" s="28">
        <v>6.8</v>
      </c>
      <c r="Q19" s="28">
        <v>4.6399999999999997</v>
      </c>
      <c r="R19" s="69">
        <f>Q19-P19</f>
        <v>-2.16</v>
      </c>
      <c r="T19" s="28" t="s">
        <v>66</v>
      </c>
      <c r="U19" s="28">
        <v>7.5</v>
      </c>
      <c r="V19" s="27" t="s">
        <v>73</v>
      </c>
      <c r="W19" s="28">
        <v>34</v>
      </c>
      <c r="Y19" s="150"/>
    </row>
    <row r="20" spans="1:25" ht="60" customHeight="1">
      <c r="A20" s="11" t="s">
        <v>29</v>
      </c>
      <c r="B20" s="11" t="s">
        <v>74</v>
      </c>
      <c r="C20" s="11" t="s">
        <v>75</v>
      </c>
      <c r="D20" s="11" t="s">
        <v>76</v>
      </c>
      <c r="E20" s="12">
        <v>6</v>
      </c>
      <c r="F20" s="40">
        <v>45618</v>
      </c>
      <c r="G20" s="13">
        <v>0.42499999999999999</v>
      </c>
      <c r="H20" s="157" t="s">
        <v>46</v>
      </c>
      <c r="I20" s="157"/>
      <c r="J20" s="40"/>
      <c r="K20" s="15"/>
      <c r="L20" s="44" t="s">
        <v>33</v>
      </c>
      <c r="M20" s="15" t="s">
        <v>77</v>
      </c>
      <c r="N20" s="11" t="s">
        <v>60</v>
      </c>
      <c r="P20" s="60">
        <v>14</v>
      </c>
      <c r="Q20" s="64">
        <v>138</v>
      </c>
      <c r="R20" s="71">
        <f>Q20-P20</f>
        <v>124</v>
      </c>
      <c r="T20" s="28" t="s">
        <v>36</v>
      </c>
      <c r="U20" s="28" t="s">
        <v>36</v>
      </c>
      <c r="V20" s="28" t="s">
        <v>78</v>
      </c>
      <c r="W20" s="28">
        <v>19</v>
      </c>
      <c r="Y20" s="150"/>
    </row>
    <row r="21" spans="1:25" ht="60" customHeight="1">
      <c r="A21" s="11" t="s">
        <v>29</v>
      </c>
      <c r="B21" s="11" t="s">
        <v>74</v>
      </c>
      <c r="C21" s="11" t="s">
        <v>75</v>
      </c>
      <c r="D21" s="11" t="s">
        <v>79</v>
      </c>
      <c r="E21" s="12">
        <v>6</v>
      </c>
      <c r="F21" s="40">
        <v>46133</v>
      </c>
      <c r="G21" s="13">
        <v>0.93611111111111112</v>
      </c>
      <c r="H21" s="21">
        <v>46218</v>
      </c>
      <c r="I21" s="13">
        <v>0.99930555555555556</v>
      </c>
      <c r="J21" s="40"/>
      <c r="K21" s="15"/>
      <c r="L21" s="44" t="s">
        <v>33</v>
      </c>
      <c r="M21" s="15" t="s">
        <v>80</v>
      </c>
      <c r="N21" s="11" t="s">
        <v>60</v>
      </c>
      <c r="P21" s="60">
        <v>14</v>
      </c>
      <c r="Q21" s="64">
        <v>30.03</v>
      </c>
      <c r="R21" s="71">
        <f>Q21-P21</f>
        <v>16.03</v>
      </c>
      <c r="T21" s="28" t="s">
        <v>36</v>
      </c>
      <c r="U21" s="28" t="s">
        <v>36</v>
      </c>
      <c r="V21" s="28" t="s">
        <v>78</v>
      </c>
      <c r="W21" s="28">
        <v>19</v>
      </c>
      <c r="Y21" s="150"/>
    </row>
    <row r="22" spans="1:25" ht="60" customHeight="1">
      <c r="A22" s="11" t="s">
        <v>29</v>
      </c>
      <c r="B22" s="11" t="s">
        <v>74</v>
      </c>
      <c r="C22" s="11" t="s">
        <v>75</v>
      </c>
      <c r="D22" s="11" t="s">
        <v>81</v>
      </c>
      <c r="E22" s="12">
        <v>6</v>
      </c>
      <c r="F22" s="40">
        <v>46157</v>
      </c>
      <c r="G22" s="13">
        <v>0.88888888888888884</v>
      </c>
      <c r="H22" s="21"/>
      <c r="I22" s="13"/>
      <c r="J22" s="40">
        <v>46157</v>
      </c>
      <c r="K22" s="15">
        <v>0.90138888888888891</v>
      </c>
      <c r="L22" s="44">
        <f>((J22+K22)-(F22+G22))*24</f>
        <v>0.29999999993015081</v>
      </c>
      <c r="M22" s="15" t="s">
        <v>82</v>
      </c>
      <c r="N22" s="11" t="s">
        <v>60</v>
      </c>
      <c r="P22" s="60">
        <v>14</v>
      </c>
      <c r="Q22" s="64">
        <v>3</v>
      </c>
      <c r="R22" s="68">
        <f>Q22-P22</f>
        <v>-11</v>
      </c>
      <c r="T22" s="28" t="s">
        <v>36</v>
      </c>
      <c r="U22" s="28" t="s">
        <v>36</v>
      </c>
      <c r="V22" s="28" t="s">
        <v>78</v>
      </c>
      <c r="W22" s="28">
        <v>19</v>
      </c>
      <c r="Y22" s="150"/>
    </row>
    <row r="23" spans="1:25" ht="60" customHeight="1">
      <c r="A23" s="11" t="s">
        <v>29</v>
      </c>
      <c r="B23" s="11" t="s">
        <v>38</v>
      </c>
      <c r="C23" s="11" t="s">
        <v>83</v>
      </c>
      <c r="D23" s="11" t="s">
        <v>40</v>
      </c>
      <c r="E23" s="12">
        <v>175.1</v>
      </c>
      <c r="F23" s="40">
        <v>46157</v>
      </c>
      <c r="G23" s="15">
        <v>0.75138888888888888</v>
      </c>
      <c r="H23" s="41"/>
      <c r="I23" s="42"/>
      <c r="J23" s="40">
        <v>46158</v>
      </c>
      <c r="K23" s="15">
        <v>0.27083333333333331</v>
      </c>
      <c r="L23" s="44">
        <f>((J23+K23)-(F23+G23))*24</f>
        <v>12.466666666790843</v>
      </c>
      <c r="M23" s="16" t="s">
        <v>41</v>
      </c>
      <c r="N23" s="11" t="s">
        <v>42</v>
      </c>
      <c r="P23" s="28" t="s">
        <v>33</v>
      </c>
      <c r="Q23" s="28" t="s">
        <v>33</v>
      </c>
      <c r="R23" s="28" t="s">
        <v>33</v>
      </c>
      <c r="T23" s="28" t="s">
        <v>36</v>
      </c>
      <c r="U23" s="28" t="s">
        <v>36</v>
      </c>
      <c r="V23" s="28" t="s">
        <v>36</v>
      </c>
      <c r="W23" s="28" t="s">
        <v>36</v>
      </c>
      <c r="Y23" s="150"/>
    </row>
    <row r="24" spans="1:25" ht="60" customHeight="1">
      <c r="A24" s="11" t="s">
        <v>29</v>
      </c>
      <c r="B24" s="11" t="s">
        <v>38</v>
      </c>
      <c r="C24" s="11" t="s">
        <v>83</v>
      </c>
      <c r="D24" s="11" t="s">
        <v>56</v>
      </c>
      <c r="E24" s="12">
        <v>175.1</v>
      </c>
      <c r="F24" s="40">
        <v>46157</v>
      </c>
      <c r="G24" s="15">
        <v>0.75</v>
      </c>
      <c r="H24" s="41"/>
      <c r="I24" s="42"/>
      <c r="J24" s="40">
        <v>46158</v>
      </c>
      <c r="K24" s="43">
        <v>0.34722222222222221</v>
      </c>
      <c r="L24" s="44">
        <f>((J24+K24)-(F24+G24))*24</f>
        <v>14.333333333255723</v>
      </c>
      <c r="M24" s="16" t="s">
        <v>41</v>
      </c>
      <c r="N24" s="57" t="s">
        <v>42</v>
      </c>
      <c r="P24" s="28" t="s">
        <v>33</v>
      </c>
      <c r="Q24" s="28" t="s">
        <v>33</v>
      </c>
      <c r="R24" s="28" t="s">
        <v>33</v>
      </c>
      <c r="T24" s="28" t="s">
        <v>36</v>
      </c>
      <c r="U24" s="28" t="s">
        <v>36</v>
      </c>
      <c r="V24" s="28" t="s">
        <v>36</v>
      </c>
      <c r="W24" s="28" t="s">
        <v>36</v>
      </c>
      <c r="Y24" s="150"/>
    </row>
    <row r="25" spans="1:25" ht="60" customHeight="1">
      <c r="A25" s="11" t="s">
        <v>29</v>
      </c>
      <c r="B25" s="11" t="s">
        <v>38</v>
      </c>
      <c r="C25" s="11" t="s">
        <v>39</v>
      </c>
      <c r="D25" s="11" t="s">
        <v>32</v>
      </c>
      <c r="E25" s="12">
        <v>10.497999999999999</v>
      </c>
      <c r="F25" s="40">
        <v>46157</v>
      </c>
      <c r="G25" s="15">
        <v>0.70972222222222225</v>
      </c>
      <c r="H25" s="148" t="s">
        <v>46</v>
      </c>
      <c r="I25" s="148"/>
      <c r="J25" s="40"/>
      <c r="K25" s="43"/>
      <c r="L25" s="44" t="s">
        <v>33</v>
      </c>
      <c r="M25" s="16" t="s">
        <v>41</v>
      </c>
      <c r="N25" s="57" t="s">
        <v>42</v>
      </c>
      <c r="P25" s="28" t="s">
        <v>33</v>
      </c>
      <c r="Q25" s="28" t="s">
        <v>33</v>
      </c>
      <c r="R25" s="28" t="s">
        <v>33</v>
      </c>
      <c r="T25" s="28" t="s">
        <v>36</v>
      </c>
      <c r="U25" s="28" t="s">
        <v>36</v>
      </c>
      <c r="V25" s="28" t="s">
        <v>36</v>
      </c>
      <c r="W25" s="28" t="s">
        <v>36</v>
      </c>
      <c r="Y25" s="150"/>
    </row>
    <row r="26" spans="1:25" ht="60" customHeight="1">
      <c r="A26" s="11" t="s">
        <v>29</v>
      </c>
      <c r="B26" s="11" t="s">
        <v>74</v>
      </c>
      <c r="C26" s="11" t="s">
        <v>84</v>
      </c>
      <c r="D26" s="11" t="s">
        <v>79</v>
      </c>
      <c r="E26" s="12">
        <v>4</v>
      </c>
      <c r="F26" s="40">
        <v>45632</v>
      </c>
      <c r="G26" s="13">
        <v>0</v>
      </c>
      <c r="H26" s="157" t="s">
        <v>46</v>
      </c>
      <c r="I26" s="157"/>
      <c r="J26" s="40"/>
      <c r="K26" s="43"/>
      <c r="L26" s="44" t="s">
        <v>33</v>
      </c>
      <c r="M26" s="15" t="s">
        <v>85</v>
      </c>
      <c r="N26" s="11" t="s">
        <v>60</v>
      </c>
      <c r="P26" s="60">
        <v>14</v>
      </c>
      <c r="Q26" s="64">
        <v>138</v>
      </c>
      <c r="R26" s="71">
        <f t="shared" ref="R26:R35" si="1">Q26-P26</f>
        <v>124</v>
      </c>
      <c r="T26" s="28" t="s">
        <v>36</v>
      </c>
      <c r="U26" s="28" t="s">
        <v>36</v>
      </c>
      <c r="V26" s="28" t="s">
        <v>61</v>
      </c>
      <c r="W26" s="28">
        <v>46</v>
      </c>
      <c r="Y26" s="150"/>
    </row>
    <row r="27" spans="1:25" ht="60" customHeight="1">
      <c r="A27" s="11" t="s">
        <v>29</v>
      </c>
      <c r="B27" s="11" t="s">
        <v>74</v>
      </c>
      <c r="C27" s="11" t="s">
        <v>84</v>
      </c>
      <c r="D27" s="11" t="s">
        <v>86</v>
      </c>
      <c r="E27" s="12">
        <v>4</v>
      </c>
      <c r="F27" s="40">
        <v>46157</v>
      </c>
      <c r="G27" s="13">
        <v>0.70486111111111116</v>
      </c>
      <c r="H27" s="21"/>
      <c r="I27" s="13"/>
      <c r="J27" s="40">
        <v>46157</v>
      </c>
      <c r="K27" s="43">
        <v>0.78819444444444442</v>
      </c>
      <c r="L27" s="44">
        <f>((J27+K27)-(F27+G27))*24</f>
        <v>2.0000000000582077</v>
      </c>
      <c r="M27" s="15" t="s">
        <v>87</v>
      </c>
      <c r="N27" s="57" t="s">
        <v>60</v>
      </c>
      <c r="P27" s="60">
        <v>14</v>
      </c>
      <c r="Q27" s="64">
        <v>2.95</v>
      </c>
      <c r="R27" s="68">
        <f t="shared" si="1"/>
        <v>-11.05</v>
      </c>
      <c r="T27" s="28" t="s">
        <v>36</v>
      </c>
      <c r="U27" s="28" t="s">
        <v>36</v>
      </c>
      <c r="V27" s="28" t="s">
        <v>61</v>
      </c>
      <c r="W27" s="28">
        <v>46</v>
      </c>
      <c r="Y27" s="150"/>
    </row>
    <row r="28" spans="1:25" ht="60" customHeight="1">
      <c r="A28" s="11" t="s">
        <v>29</v>
      </c>
      <c r="B28" s="11" t="s">
        <v>57</v>
      </c>
      <c r="C28" s="11" t="s">
        <v>58</v>
      </c>
      <c r="D28" s="11" t="s">
        <v>88</v>
      </c>
      <c r="E28" s="12">
        <v>15</v>
      </c>
      <c r="F28" s="40">
        <v>46157</v>
      </c>
      <c r="G28" s="13">
        <v>0.59166666666666667</v>
      </c>
      <c r="H28" s="21"/>
      <c r="I28" s="13"/>
      <c r="J28" s="40">
        <v>46157</v>
      </c>
      <c r="K28" s="43">
        <v>0.6166666666666667</v>
      </c>
      <c r="L28" s="44">
        <f>((J28+K28)-(F28+G28))*24</f>
        <v>0.6000000000349246</v>
      </c>
      <c r="M28" s="15" t="s">
        <v>89</v>
      </c>
      <c r="N28" s="57" t="s">
        <v>60</v>
      </c>
      <c r="P28" s="60">
        <v>14</v>
      </c>
      <c r="Q28" s="28">
        <v>1.75</v>
      </c>
      <c r="R28" s="28">
        <f t="shared" si="1"/>
        <v>-12.25</v>
      </c>
      <c r="T28" s="28" t="s">
        <v>36</v>
      </c>
      <c r="U28" s="28" t="s">
        <v>36</v>
      </c>
      <c r="V28" s="28" t="s">
        <v>61</v>
      </c>
      <c r="W28" s="28">
        <v>46</v>
      </c>
      <c r="Y28" s="149" t="s">
        <v>62</v>
      </c>
    </row>
    <row r="29" spans="1:25" ht="60" customHeight="1">
      <c r="A29" s="11" t="s">
        <v>29</v>
      </c>
      <c r="B29" s="11" t="s">
        <v>57</v>
      </c>
      <c r="C29" s="11" t="s">
        <v>58</v>
      </c>
      <c r="D29" s="11" t="s">
        <v>56</v>
      </c>
      <c r="E29" s="12">
        <v>15</v>
      </c>
      <c r="F29" s="40">
        <v>46157</v>
      </c>
      <c r="G29" s="13">
        <v>0.54791666666666672</v>
      </c>
      <c r="H29" s="21"/>
      <c r="I29" s="13"/>
      <c r="J29" s="40">
        <v>46157</v>
      </c>
      <c r="K29" s="43">
        <v>0.5708333333333333</v>
      </c>
      <c r="L29" s="44">
        <f>((J29+K29)-(F29+G29))*24</f>
        <v>0.54999999987194315</v>
      </c>
      <c r="M29" s="15" t="s">
        <v>90</v>
      </c>
      <c r="N29" s="57" t="s">
        <v>60</v>
      </c>
      <c r="P29" s="60" t="s">
        <v>33</v>
      </c>
      <c r="Q29" s="28" t="s">
        <v>33</v>
      </c>
      <c r="R29" s="28" t="s">
        <v>33</v>
      </c>
      <c r="T29" s="28" t="s">
        <v>36</v>
      </c>
      <c r="U29" s="28" t="s">
        <v>36</v>
      </c>
      <c r="V29" s="28" t="s">
        <v>61</v>
      </c>
      <c r="W29" s="28">
        <v>110</v>
      </c>
      <c r="Y29" s="149"/>
    </row>
    <row r="30" spans="1:25" ht="60" customHeight="1">
      <c r="A30" s="11" t="s">
        <v>29</v>
      </c>
      <c r="B30" s="11" t="s">
        <v>74</v>
      </c>
      <c r="C30" s="11" t="s">
        <v>84</v>
      </c>
      <c r="D30" s="11" t="s">
        <v>91</v>
      </c>
      <c r="E30" s="12">
        <v>6</v>
      </c>
      <c r="F30" s="40">
        <v>46157</v>
      </c>
      <c r="G30" s="13">
        <v>0.4375</v>
      </c>
      <c r="H30" s="21"/>
      <c r="I30" s="13"/>
      <c r="J30" s="40">
        <v>46157</v>
      </c>
      <c r="K30" s="43">
        <v>0.99583333333333335</v>
      </c>
      <c r="L30" s="44">
        <f>((J30+K30)-(F30+G30))*24</f>
        <v>13.400000000023283</v>
      </c>
      <c r="M30" s="15" t="s">
        <v>92</v>
      </c>
      <c r="N30" s="57" t="s">
        <v>60</v>
      </c>
      <c r="P30" s="60">
        <v>14</v>
      </c>
      <c r="Q30" s="64">
        <v>3.4</v>
      </c>
      <c r="R30" s="68">
        <f t="shared" si="1"/>
        <v>-10.6</v>
      </c>
      <c r="T30" s="28" t="s">
        <v>36</v>
      </c>
      <c r="U30" s="28" t="s">
        <v>36</v>
      </c>
      <c r="V30" s="28" t="s">
        <v>61</v>
      </c>
      <c r="W30" s="28">
        <v>46</v>
      </c>
      <c r="Y30" s="149" t="s">
        <v>43</v>
      </c>
    </row>
    <row r="31" spans="1:25" ht="60" customHeight="1">
      <c r="A31" s="11" t="s">
        <v>29</v>
      </c>
      <c r="B31" s="11" t="s">
        <v>93</v>
      </c>
      <c r="C31" s="11" t="s">
        <v>94</v>
      </c>
      <c r="D31" s="11" t="s">
        <v>32</v>
      </c>
      <c r="E31" s="44">
        <v>724.96500000000003</v>
      </c>
      <c r="F31" s="40">
        <v>46157</v>
      </c>
      <c r="G31" s="13">
        <v>0.42708333333333331</v>
      </c>
      <c r="H31" s="21"/>
      <c r="I31" s="13"/>
      <c r="J31" s="40">
        <v>46157</v>
      </c>
      <c r="K31" s="43">
        <v>0.85902777777777772</v>
      </c>
      <c r="L31" s="44">
        <f>((J31+K31)-(F31+G31))*24</f>
        <v>10.366666666581295</v>
      </c>
      <c r="M31" s="15" t="s">
        <v>95</v>
      </c>
      <c r="N31" s="57" t="s">
        <v>96</v>
      </c>
      <c r="O31" s="9"/>
      <c r="P31" s="28">
        <v>16.8</v>
      </c>
      <c r="Q31" s="28">
        <v>6.12</v>
      </c>
      <c r="R31" s="28">
        <f t="shared" si="1"/>
        <v>-10.68</v>
      </c>
      <c r="T31" s="27" t="s">
        <v>97</v>
      </c>
      <c r="U31" s="28">
        <v>553</v>
      </c>
      <c r="V31" s="28" t="s">
        <v>98</v>
      </c>
      <c r="W31" s="28">
        <v>60</v>
      </c>
      <c r="Y31" s="149"/>
    </row>
    <row r="32" spans="1:25" ht="60" customHeight="1">
      <c r="A32" s="11" t="s">
        <v>29</v>
      </c>
      <c r="B32" s="11" t="s">
        <v>99</v>
      </c>
      <c r="C32" s="11" t="s">
        <v>100</v>
      </c>
      <c r="D32" s="11" t="s">
        <v>32</v>
      </c>
      <c r="E32" s="12">
        <v>20</v>
      </c>
      <c r="F32" s="40">
        <v>46157</v>
      </c>
      <c r="G32" s="15">
        <v>0.3576388888888889</v>
      </c>
      <c r="H32" s="37"/>
      <c r="I32" s="15"/>
      <c r="J32" s="40">
        <v>46157</v>
      </c>
      <c r="K32" s="43">
        <v>0.58333333333333337</v>
      </c>
      <c r="L32" s="44">
        <f>((J32+K32)-(F32+G32))*24</f>
        <v>5.4166666666860692</v>
      </c>
      <c r="M32" s="11" t="s">
        <v>101</v>
      </c>
      <c r="N32" s="57" t="s">
        <v>102</v>
      </c>
      <c r="P32" s="28">
        <v>13.7</v>
      </c>
      <c r="Q32" s="28">
        <v>1.92</v>
      </c>
      <c r="R32" s="28">
        <f t="shared" si="1"/>
        <v>-11.78</v>
      </c>
      <c r="T32" s="28" t="s">
        <v>36</v>
      </c>
      <c r="U32" s="28" t="s">
        <v>36</v>
      </c>
      <c r="V32" s="28" t="s">
        <v>36</v>
      </c>
      <c r="W32" s="28" t="s">
        <v>36</v>
      </c>
      <c r="Y32" s="74" t="s">
        <v>62</v>
      </c>
    </row>
    <row r="33" spans="1:25" ht="60" customHeight="1">
      <c r="A33" s="11" t="s">
        <v>29</v>
      </c>
      <c r="B33" s="11" t="s">
        <v>74</v>
      </c>
      <c r="C33" s="11" t="s">
        <v>84</v>
      </c>
      <c r="D33" s="11" t="s">
        <v>86</v>
      </c>
      <c r="E33" s="12">
        <v>6</v>
      </c>
      <c r="F33" s="40">
        <v>46157</v>
      </c>
      <c r="G33" s="13">
        <v>0.70486111111111116</v>
      </c>
      <c r="H33" s="21"/>
      <c r="I33" s="13"/>
      <c r="J33" s="40">
        <v>46157</v>
      </c>
      <c r="K33" s="43">
        <v>0.78819444444444442</v>
      </c>
      <c r="L33" s="44">
        <f>((J33+K33)-(F33+G33))*24</f>
        <v>2.0000000000582077</v>
      </c>
      <c r="M33" s="15" t="s">
        <v>87</v>
      </c>
      <c r="N33" s="57" t="s">
        <v>60</v>
      </c>
      <c r="P33" s="60">
        <v>14</v>
      </c>
      <c r="Q33" s="64">
        <v>2.95</v>
      </c>
      <c r="R33" s="68">
        <f t="shared" si="1"/>
        <v>-11.05</v>
      </c>
      <c r="T33" s="28" t="s">
        <v>36</v>
      </c>
      <c r="U33" s="28" t="s">
        <v>36</v>
      </c>
      <c r="V33" s="28" t="s">
        <v>61</v>
      </c>
      <c r="W33" s="28">
        <v>46</v>
      </c>
      <c r="Y33" s="150" t="s">
        <v>43</v>
      </c>
    </row>
    <row r="34" spans="1:25" ht="60" customHeight="1">
      <c r="A34" s="11" t="s">
        <v>29</v>
      </c>
      <c r="B34" s="11" t="s">
        <v>74</v>
      </c>
      <c r="C34" s="11" t="s">
        <v>84</v>
      </c>
      <c r="D34" s="11" t="s">
        <v>103</v>
      </c>
      <c r="E34" s="12">
        <v>6</v>
      </c>
      <c r="F34" s="40">
        <v>46138</v>
      </c>
      <c r="G34" s="13">
        <v>0.80694444444444446</v>
      </c>
      <c r="H34" s="21">
        <v>46162</v>
      </c>
      <c r="I34" s="13">
        <v>0.99930555555555556</v>
      </c>
      <c r="J34" s="40"/>
      <c r="K34" s="43"/>
      <c r="L34" s="44" t="s">
        <v>33</v>
      </c>
      <c r="M34" s="15" t="s">
        <v>104</v>
      </c>
      <c r="N34" s="57" t="s">
        <v>60</v>
      </c>
      <c r="P34" s="60">
        <v>14</v>
      </c>
      <c r="Q34" s="64">
        <v>25</v>
      </c>
      <c r="R34" s="71">
        <f t="shared" si="1"/>
        <v>11</v>
      </c>
      <c r="T34" s="28" t="s">
        <v>36</v>
      </c>
      <c r="U34" s="28" t="s">
        <v>36</v>
      </c>
      <c r="V34" s="28" t="s">
        <v>61</v>
      </c>
      <c r="W34" s="28">
        <v>46</v>
      </c>
      <c r="Y34" s="150"/>
    </row>
    <row r="35" spans="1:25" ht="60" customHeight="1">
      <c r="A35" s="11" t="s">
        <v>29</v>
      </c>
      <c r="B35" s="11" t="s">
        <v>74</v>
      </c>
      <c r="C35" s="11" t="s">
        <v>84</v>
      </c>
      <c r="D35" s="11" t="s">
        <v>105</v>
      </c>
      <c r="E35" s="12">
        <v>6</v>
      </c>
      <c r="F35" s="40">
        <v>46157</v>
      </c>
      <c r="G35" s="13">
        <v>2.7083333333333334E-2</v>
      </c>
      <c r="H35" s="21"/>
      <c r="I35" s="13"/>
      <c r="J35" s="40">
        <v>46157</v>
      </c>
      <c r="K35" s="43">
        <v>3.888888888888889E-2</v>
      </c>
      <c r="L35" s="44">
        <f>((J35+K35)-(F35+G35))*24</f>
        <v>0.28333333338377997</v>
      </c>
      <c r="M35" s="15" t="s">
        <v>106</v>
      </c>
      <c r="N35" s="57" t="s">
        <v>60</v>
      </c>
      <c r="P35" s="60">
        <v>14</v>
      </c>
      <c r="Q35" s="64">
        <v>4.17</v>
      </c>
      <c r="R35" s="68">
        <f t="shared" si="1"/>
        <v>-9.83</v>
      </c>
      <c r="T35" s="28" t="s">
        <v>36</v>
      </c>
      <c r="U35" s="28" t="s">
        <v>36</v>
      </c>
      <c r="V35" s="28" t="s">
        <v>61</v>
      </c>
      <c r="W35" s="28">
        <v>46</v>
      </c>
      <c r="Y35" s="150"/>
    </row>
    <row r="36" spans="1:25" ht="60" customHeight="1">
      <c r="A36" s="11" t="s">
        <v>29</v>
      </c>
      <c r="B36" s="11" t="s">
        <v>63</v>
      </c>
      <c r="C36" s="11" t="s">
        <v>64</v>
      </c>
      <c r="D36" s="11" t="s">
        <v>68</v>
      </c>
      <c r="E36" s="12">
        <v>37.5</v>
      </c>
      <c r="F36" s="40">
        <v>46157</v>
      </c>
      <c r="G36" s="13">
        <v>6.9444444444444447E-4</v>
      </c>
      <c r="H36" s="14"/>
      <c r="I36" s="15"/>
      <c r="J36" s="40">
        <v>46158</v>
      </c>
      <c r="K36" s="43">
        <v>0.33333333333333331</v>
      </c>
      <c r="L36" s="44">
        <f>((J36+K36)-(F36+G36))*24</f>
        <v>31.983333333337214</v>
      </c>
      <c r="M36" s="16" t="s">
        <v>107</v>
      </c>
      <c r="N36" s="57" t="s">
        <v>42</v>
      </c>
      <c r="P36" s="28" t="s">
        <v>33</v>
      </c>
      <c r="Q36" s="28" t="s">
        <v>33</v>
      </c>
      <c r="R36" s="28" t="s">
        <v>33</v>
      </c>
      <c r="T36" s="28" t="s">
        <v>66</v>
      </c>
      <c r="U36" s="28">
        <v>7.5</v>
      </c>
      <c r="V36" s="28" t="s">
        <v>67</v>
      </c>
      <c r="W36" s="28">
        <v>23</v>
      </c>
      <c r="Y36" s="150"/>
    </row>
    <row r="37" spans="1:25" ht="60" customHeight="1">
      <c r="A37" s="11" t="s">
        <v>29</v>
      </c>
      <c r="B37" s="11" t="s">
        <v>63</v>
      </c>
      <c r="C37" s="11" t="s">
        <v>64</v>
      </c>
      <c r="D37" s="11" t="s">
        <v>40</v>
      </c>
      <c r="E37" s="12">
        <v>37.5</v>
      </c>
      <c r="F37" s="40">
        <v>46157</v>
      </c>
      <c r="G37" s="15">
        <v>6.9444444444444447E-4</v>
      </c>
      <c r="H37" s="41"/>
      <c r="I37" s="42"/>
      <c r="J37" s="40">
        <v>46158</v>
      </c>
      <c r="K37" s="43">
        <v>0.26041666666666669</v>
      </c>
      <c r="L37" s="44">
        <f>((J37+K37)-(F37+G37))*24</f>
        <v>30.233333333220799</v>
      </c>
      <c r="M37" s="17" t="s">
        <v>107</v>
      </c>
      <c r="N37" s="57" t="s">
        <v>42</v>
      </c>
      <c r="P37" s="28" t="s">
        <v>33</v>
      </c>
      <c r="Q37" s="28" t="s">
        <v>33</v>
      </c>
      <c r="R37" s="28" t="s">
        <v>33</v>
      </c>
      <c r="T37" s="28" t="s">
        <v>66</v>
      </c>
      <c r="U37" s="28">
        <v>7.5</v>
      </c>
      <c r="V37" s="28" t="s">
        <v>67</v>
      </c>
      <c r="W37" s="28">
        <v>23</v>
      </c>
      <c r="Y37" s="150"/>
    </row>
    <row r="38" spans="1:25" ht="60" customHeight="1">
      <c r="A38" s="11" t="s">
        <v>29</v>
      </c>
      <c r="B38" s="11" t="s">
        <v>63</v>
      </c>
      <c r="C38" s="11" t="s">
        <v>64</v>
      </c>
      <c r="D38" s="11" t="s">
        <v>32</v>
      </c>
      <c r="E38" s="12">
        <v>37.5</v>
      </c>
      <c r="F38" s="40">
        <v>46157</v>
      </c>
      <c r="G38" s="15">
        <v>0</v>
      </c>
      <c r="H38" s="14"/>
      <c r="I38" s="15"/>
      <c r="J38" s="40">
        <v>46158</v>
      </c>
      <c r="K38" s="15">
        <v>0.33333333333333331</v>
      </c>
      <c r="L38" s="44">
        <f>((J38+K38)-(F38+G38))*24</f>
        <v>32.000000000058208</v>
      </c>
      <c r="M38" s="2" t="s">
        <v>107</v>
      </c>
      <c r="N38" s="11" t="s">
        <v>42</v>
      </c>
      <c r="P38" s="28" t="s">
        <v>33</v>
      </c>
      <c r="Q38" s="28" t="s">
        <v>33</v>
      </c>
      <c r="R38" s="28" t="s">
        <v>33</v>
      </c>
      <c r="T38" s="28" t="s">
        <v>66</v>
      </c>
      <c r="U38" s="28">
        <v>7.5</v>
      </c>
      <c r="V38" s="28" t="s">
        <v>67</v>
      </c>
      <c r="W38" s="28">
        <v>23</v>
      </c>
      <c r="Y38" s="150"/>
    </row>
    <row r="39" spans="1:25" ht="60" customHeight="1">
      <c r="A39" s="11" t="s">
        <v>29</v>
      </c>
      <c r="B39" s="11" t="s">
        <v>108</v>
      </c>
      <c r="C39" s="11" t="s">
        <v>109</v>
      </c>
      <c r="D39" s="11" t="s">
        <v>56</v>
      </c>
      <c r="E39" s="12">
        <v>90</v>
      </c>
      <c r="F39" s="40">
        <v>46157</v>
      </c>
      <c r="G39" s="15">
        <v>0</v>
      </c>
      <c r="H39" s="45"/>
      <c r="I39" s="15"/>
      <c r="J39" s="40">
        <v>46157</v>
      </c>
      <c r="K39" s="15">
        <v>0.33402777777777776</v>
      </c>
      <c r="L39" s="44">
        <f>((J39+K39)-(F39+G39))*24</f>
        <v>8.0166666666045785</v>
      </c>
      <c r="M39" s="2" t="s">
        <v>110</v>
      </c>
      <c r="N39" s="11" t="s">
        <v>42</v>
      </c>
      <c r="P39" s="60" t="s">
        <v>33</v>
      </c>
      <c r="Q39" s="28" t="s">
        <v>33</v>
      </c>
      <c r="R39" s="28" t="s">
        <v>33</v>
      </c>
      <c r="T39" s="28" t="s">
        <v>36</v>
      </c>
      <c r="U39" s="28" t="s">
        <v>36</v>
      </c>
      <c r="V39" s="28" t="s">
        <v>36</v>
      </c>
      <c r="W39" s="28" t="s">
        <v>36</v>
      </c>
      <c r="Y39" s="150"/>
    </row>
    <row r="40" spans="1:25" ht="60" customHeight="1">
      <c r="A40" s="11" t="s">
        <v>29</v>
      </c>
      <c r="B40" s="11" t="s">
        <v>63</v>
      </c>
      <c r="C40" s="11" t="s">
        <v>64</v>
      </c>
      <c r="D40" s="11" t="s">
        <v>68</v>
      </c>
      <c r="E40" s="12">
        <v>37.5</v>
      </c>
      <c r="F40" s="40">
        <v>46156</v>
      </c>
      <c r="G40" s="13">
        <v>0.90138888888888891</v>
      </c>
      <c r="H40" s="14"/>
      <c r="I40" s="15"/>
      <c r="J40" s="40">
        <v>46158</v>
      </c>
      <c r="K40" s="15">
        <v>0.33333333333333331</v>
      </c>
      <c r="L40" s="44">
        <f>((J40+K40)-(F40+G40))*24</f>
        <v>34.366666666755918</v>
      </c>
      <c r="M40" s="16" t="s">
        <v>111</v>
      </c>
      <c r="N40" s="11" t="s">
        <v>42</v>
      </c>
      <c r="P40" s="28" t="s">
        <v>33</v>
      </c>
      <c r="Q40" s="28" t="s">
        <v>33</v>
      </c>
      <c r="R40" s="28" t="s">
        <v>33</v>
      </c>
      <c r="T40" s="28" t="s">
        <v>66</v>
      </c>
      <c r="U40" s="28">
        <v>7.5</v>
      </c>
      <c r="V40" s="28" t="s">
        <v>67</v>
      </c>
      <c r="W40" s="28">
        <v>23</v>
      </c>
      <c r="Y40" s="150"/>
    </row>
    <row r="41" spans="1:25" ht="60" customHeight="1">
      <c r="A41" s="11" t="s">
        <v>29</v>
      </c>
      <c r="B41" s="11" t="s">
        <v>74</v>
      </c>
      <c r="C41" s="11" t="s">
        <v>84</v>
      </c>
      <c r="D41" s="11" t="s">
        <v>105</v>
      </c>
      <c r="E41" s="12">
        <v>4</v>
      </c>
      <c r="F41" s="40">
        <v>46156</v>
      </c>
      <c r="G41" s="13">
        <v>0.8305555555555556</v>
      </c>
      <c r="H41" s="21"/>
      <c r="I41" s="13"/>
      <c r="J41" s="40">
        <v>46156</v>
      </c>
      <c r="K41" s="15">
        <v>0.86319444444444449</v>
      </c>
      <c r="L41" s="44">
        <f>((J41+K41)-(F41+G41))*24</f>
        <v>0.78333333326736465</v>
      </c>
      <c r="M41" s="15" t="s">
        <v>106</v>
      </c>
      <c r="N41" s="11" t="s">
        <v>60</v>
      </c>
      <c r="P41" s="60">
        <v>14</v>
      </c>
      <c r="Q41" s="64">
        <v>4.17</v>
      </c>
      <c r="R41" s="68">
        <f>Q41-P41</f>
        <v>-9.83</v>
      </c>
      <c r="T41" s="28" t="s">
        <v>36</v>
      </c>
      <c r="U41" s="28" t="s">
        <v>36</v>
      </c>
      <c r="V41" s="28" t="s">
        <v>61</v>
      </c>
      <c r="W41" s="28">
        <v>46</v>
      </c>
      <c r="Y41" s="150"/>
    </row>
    <row r="42" spans="1:25" ht="60" customHeight="1">
      <c r="A42" s="11" t="s">
        <v>29</v>
      </c>
      <c r="B42" s="11" t="s">
        <v>38</v>
      </c>
      <c r="C42" s="11" t="s">
        <v>83</v>
      </c>
      <c r="D42" s="11" t="s">
        <v>68</v>
      </c>
      <c r="E42" s="12">
        <v>175.1</v>
      </c>
      <c r="F42" s="40">
        <v>46156</v>
      </c>
      <c r="G42" s="13">
        <v>0.75694444444444442</v>
      </c>
      <c r="H42" s="21"/>
      <c r="I42" s="13"/>
      <c r="J42" s="40">
        <v>46157</v>
      </c>
      <c r="K42" s="15">
        <v>0.15277777777777779</v>
      </c>
      <c r="L42" s="44">
        <f>((J42+K42)-(F42+G42))*24</f>
        <v>9.5000000000582077</v>
      </c>
      <c r="M42" s="16" t="s">
        <v>55</v>
      </c>
      <c r="N42" s="11" t="s">
        <v>42</v>
      </c>
      <c r="O42" s="18"/>
      <c r="P42" s="60" t="s">
        <v>33</v>
      </c>
      <c r="Q42" s="28" t="s">
        <v>33</v>
      </c>
      <c r="R42" s="28" t="s">
        <v>33</v>
      </c>
      <c r="T42" s="28" t="s">
        <v>36</v>
      </c>
      <c r="U42" s="28" t="s">
        <v>36</v>
      </c>
      <c r="V42" s="28" t="s">
        <v>36</v>
      </c>
      <c r="W42" s="28" t="s">
        <v>36</v>
      </c>
      <c r="Y42" s="150"/>
    </row>
    <row r="43" spans="1:25" ht="60" customHeight="1">
      <c r="A43" s="11" t="s">
        <v>29</v>
      </c>
      <c r="B43" s="11" t="s">
        <v>38</v>
      </c>
      <c r="C43" s="11" t="s">
        <v>83</v>
      </c>
      <c r="D43" s="11" t="s">
        <v>32</v>
      </c>
      <c r="E43" s="12">
        <v>155.55000000000001</v>
      </c>
      <c r="F43" s="40">
        <v>46156</v>
      </c>
      <c r="G43" s="13">
        <v>0.75138888888888888</v>
      </c>
      <c r="H43" s="21"/>
      <c r="I43" s="13"/>
      <c r="J43" s="40">
        <v>46157</v>
      </c>
      <c r="K43" s="15">
        <v>0.1701388888888889</v>
      </c>
      <c r="L43" s="44">
        <f>((J43+K43)-(F43+G43))*24</f>
        <v>10.050000000104774</v>
      </c>
      <c r="M43" s="16" t="s">
        <v>55</v>
      </c>
      <c r="N43" s="11" t="s">
        <v>42</v>
      </c>
      <c r="O43" s="18"/>
      <c r="P43" s="60" t="s">
        <v>33</v>
      </c>
      <c r="Q43" s="28" t="s">
        <v>33</v>
      </c>
      <c r="R43" s="28" t="s">
        <v>33</v>
      </c>
      <c r="T43" s="28" t="s">
        <v>36</v>
      </c>
      <c r="U43" s="28" t="s">
        <v>36</v>
      </c>
      <c r="V43" s="28" t="s">
        <v>36</v>
      </c>
      <c r="W43" s="28" t="s">
        <v>36</v>
      </c>
      <c r="Y43" s="150"/>
    </row>
    <row r="44" spans="1:25" ht="60" customHeight="1">
      <c r="A44" s="11" t="s">
        <v>29</v>
      </c>
      <c r="B44" s="11" t="s">
        <v>108</v>
      </c>
      <c r="C44" s="11" t="s">
        <v>109</v>
      </c>
      <c r="D44" s="11" t="s">
        <v>40</v>
      </c>
      <c r="E44" s="12">
        <v>90</v>
      </c>
      <c r="F44" s="40">
        <v>46156</v>
      </c>
      <c r="G44" s="15">
        <v>0.6743055555555556</v>
      </c>
      <c r="H44" s="45"/>
      <c r="I44" s="15"/>
      <c r="J44" s="40">
        <v>46157</v>
      </c>
      <c r="K44" s="15">
        <v>0</v>
      </c>
      <c r="L44" s="44">
        <f>((J44+K44)-(F44+G44))*24</f>
        <v>7.8166666666511446</v>
      </c>
      <c r="M44" s="16" t="s">
        <v>110</v>
      </c>
      <c r="N44" s="11" t="s">
        <v>42</v>
      </c>
      <c r="P44" s="60" t="s">
        <v>33</v>
      </c>
      <c r="Q44" s="28" t="s">
        <v>33</v>
      </c>
      <c r="R44" s="28" t="s">
        <v>33</v>
      </c>
      <c r="T44" s="28" t="s">
        <v>36</v>
      </c>
      <c r="U44" s="28" t="s">
        <v>36</v>
      </c>
      <c r="V44" s="28" t="s">
        <v>36</v>
      </c>
      <c r="W44" s="28" t="s">
        <v>36</v>
      </c>
      <c r="Y44" s="150"/>
    </row>
    <row r="45" spans="1:25" ht="60" customHeight="1">
      <c r="A45" s="11" t="s">
        <v>29</v>
      </c>
      <c r="B45" s="11" t="s">
        <v>108</v>
      </c>
      <c r="C45" s="11" t="s">
        <v>109</v>
      </c>
      <c r="D45" s="11" t="s">
        <v>56</v>
      </c>
      <c r="E45" s="12">
        <v>90</v>
      </c>
      <c r="F45" s="40">
        <v>46156</v>
      </c>
      <c r="G45" s="15">
        <v>0.54583333333333328</v>
      </c>
      <c r="H45" s="45"/>
      <c r="I45" s="15"/>
      <c r="J45" s="40">
        <v>46157</v>
      </c>
      <c r="K45" s="15">
        <v>0</v>
      </c>
      <c r="L45" s="44">
        <f>((J45+K45)-(F45+G45))*24</f>
        <v>10.900000000081491</v>
      </c>
      <c r="M45" s="16" t="s">
        <v>110</v>
      </c>
      <c r="N45" s="11" t="s">
        <v>42</v>
      </c>
      <c r="P45" s="60" t="s">
        <v>33</v>
      </c>
      <c r="Q45" s="28" t="s">
        <v>33</v>
      </c>
      <c r="R45" s="28" t="s">
        <v>33</v>
      </c>
      <c r="T45" s="28" t="s">
        <v>36</v>
      </c>
      <c r="U45" s="28" t="s">
        <v>36</v>
      </c>
      <c r="V45" s="28" t="s">
        <v>36</v>
      </c>
      <c r="W45" s="28" t="s">
        <v>36</v>
      </c>
      <c r="Y45" s="150"/>
    </row>
    <row r="46" spans="1:25" ht="60" customHeight="1">
      <c r="A46" s="11" t="s">
        <v>29</v>
      </c>
      <c r="B46" s="11" t="s">
        <v>44</v>
      </c>
      <c r="C46" s="11" t="s">
        <v>45</v>
      </c>
      <c r="D46" s="11" t="s">
        <v>56</v>
      </c>
      <c r="E46" s="12">
        <v>0.6</v>
      </c>
      <c r="F46" s="40">
        <v>46156</v>
      </c>
      <c r="G46" s="15">
        <v>0.52083333333333337</v>
      </c>
      <c r="H46" s="37"/>
      <c r="I46" s="15"/>
      <c r="J46" s="40">
        <v>46159</v>
      </c>
      <c r="K46" s="15">
        <v>0.45277777777777778</v>
      </c>
      <c r="L46" s="44">
        <f>((J46+K46)-(F46+G46))*24</f>
        <v>70.366666666581295</v>
      </c>
      <c r="M46" s="16" t="s">
        <v>112</v>
      </c>
      <c r="N46" s="11" t="s">
        <v>42</v>
      </c>
      <c r="P46" s="60" t="s">
        <v>33</v>
      </c>
      <c r="Q46" s="28" t="s">
        <v>33</v>
      </c>
      <c r="R46" s="28" t="s">
        <v>33</v>
      </c>
      <c r="T46" s="28" t="s">
        <v>36</v>
      </c>
      <c r="U46" s="28" t="s">
        <v>36</v>
      </c>
      <c r="V46" s="28" t="s">
        <v>36</v>
      </c>
      <c r="W46" s="28" t="s">
        <v>36</v>
      </c>
      <c r="Y46" s="150"/>
    </row>
    <row r="47" spans="1:25" ht="60" customHeight="1">
      <c r="A47" s="11" t="s">
        <v>29</v>
      </c>
      <c r="B47" s="11" t="s">
        <v>113</v>
      </c>
      <c r="C47" s="11" t="s">
        <v>114</v>
      </c>
      <c r="D47" s="11" t="s">
        <v>40</v>
      </c>
      <c r="E47" s="12">
        <v>440</v>
      </c>
      <c r="F47" s="40">
        <v>46156</v>
      </c>
      <c r="G47" s="13">
        <v>0.35555555555555557</v>
      </c>
      <c r="H47" s="21"/>
      <c r="I47" s="13"/>
      <c r="J47" s="40">
        <v>46157</v>
      </c>
      <c r="K47" s="15">
        <v>0.76597222222222228</v>
      </c>
      <c r="L47" s="44">
        <f>((J47+K47)-(F47+G47))*24</f>
        <v>33.849999999976717</v>
      </c>
      <c r="M47" s="15" t="s">
        <v>115</v>
      </c>
      <c r="N47" s="11" t="s">
        <v>52</v>
      </c>
      <c r="P47" s="28">
        <v>7.7</v>
      </c>
      <c r="Q47" s="64">
        <v>22.167361111431092</v>
      </c>
      <c r="R47" s="64">
        <f>Q47-P47</f>
        <v>14.467361111431092</v>
      </c>
      <c r="T47" s="28" t="s">
        <v>116</v>
      </c>
      <c r="U47" s="28">
        <v>1200</v>
      </c>
      <c r="V47" s="28" t="s">
        <v>36</v>
      </c>
      <c r="W47" s="28" t="s">
        <v>36</v>
      </c>
      <c r="Y47" s="76" t="s">
        <v>117</v>
      </c>
    </row>
    <row r="48" spans="1:25" ht="60" customHeight="1">
      <c r="A48" s="11" t="s">
        <v>29</v>
      </c>
      <c r="B48" s="11" t="s">
        <v>63</v>
      </c>
      <c r="C48" s="11" t="s">
        <v>64</v>
      </c>
      <c r="D48" s="11" t="s">
        <v>40</v>
      </c>
      <c r="E48" s="12">
        <v>37.5</v>
      </c>
      <c r="F48" s="40">
        <v>46156</v>
      </c>
      <c r="G48" s="15">
        <v>0.3347222222222222</v>
      </c>
      <c r="H48" s="45"/>
      <c r="I48" s="15"/>
      <c r="J48" s="40">
        <v>46156</v>
      </c>
      <c r="K48" s="15">
        <v>1</v>
      </c>
      <c r="L48" s="44">
        <f>((J48+K48)-(F48+G48))*24</f>
        <v>15.966666666674428</v>
      </c>
      <c r="M48" s="19" t="s">
        <v>107</v>
      </c>
      <c r="N48" s="11" t="s">
        <v>42</v>
      </c>
      <c r="P48" s="28" t="s">
        <v>33</v>
      </c>
      <c r="Q48" s="28" t="s">
        <v>33</v>
      </c>
      <c r="R48" s="28" t="s">
        <v>33</v>
      </c>
      <c r="T48" s="28" t="s">
        <v>66</v>
      </c>
      <c r="U48" s="28">
        <v>7.5</v>
      </c>
      <c r="V48" s="28" t="s">
        <v>67</v>
      </c>
      <c r="W48" s="28">
        <v>23</v>
      </c>
      <c r="Y48" s="159" t="s">
        <v>43</v>
      </c>
    </row>
    <row r="49" spans="1:25" ht="60" customHeight="1">
      <c r="A49" s="11" t="s">
        <v>29</v>
      </c>
      <c r="B49" s="11" t="s">
        <v>63</v>
      </c>
      <c r="C49" s="11" t="s">
        <v>64</v>
      </c>
      <c r="D49" s="11" t="s">
        <v>40</v>
      </c>
      <c r="E49" s="12">
        <v>37.5</v>
      </c>
      <c r="F49" s="40">
        <v>46156</v>
      </c>
      <c r="G49" s="15">
        <v>0.3347222222222222</v>
      </c>
      <c r="H49" s="45"/>
      <c r="I49" s="15"/>
      <c r="J49" s="40">
        <v>46156</v>
      </c>
      <c r="K49" s="15">
        <v>1</v>
      </c>
      <c r="L49" s="44">
        <f>((J49+K49)-(F49+G49))*24</f>
        <v>15.966666666674428</v>
      </c>
      <c r="M49" s="20" t="s">
        <v>107</v>
      </c>
      <c r="N49" s="11" t="s">
        <v>42</v>
      </c>
      <c r="P49" s="28" t="s">
        <v>33</v>
      </c>
      <c r="Q49" s="28" t="s">
        <v>33</v>
      </c>
      <c r="R49" s="28" t="s">
        <v>33</v>
      </c>
      <c r="T49" s="28" t="s">
        <v>66</v>
      </c>
      <c r="U49" s="28">
        <v>7.5</v>
      </c>
      <c r="V49" s="28" t="s">
        <v>67</v>
      </c>
      <c r="W49" s="28">
        <v>23</v>
      </c>
      <c r="Y49" s="159"/>
    </row>
    <row r="50" spans="1:25" ht="60" customHeight="1">
      <c r="A50" s="11" t="s">
        <v>29</v>
      </c>
      <c r="B50" s="11" t="s">
        <v>113</v>
      </c>
      <c r="C50" s="11" t="s">
        <v>114</v>
      </c>
      <c r="D50" s="11" t="s">
        <v>68</v>
      </c>
      <c r="E50" s="12">
        <v>440</v>
      </c>
      <c r="F50" s="40">
        <v>46156</v>
      </c>
      <c r="G50" s="13">
        <v>0.31597222222222221</v>
      </c>
      <c r="H50" s="21"/>
      <c r="I50" s="13"/>
      <c r="J50" s="40">
        <v>46157</v>
      </c>
      <c r="K50" s="15">
        <v>0.67847222222222225</v>
      </c>
      <c r="L50" s="44">
        <f>((J50+K50)-(F50+G50))*24</f>
        <v>32.700000000069849</v>
      </c>
      <c r="M50" s="15" t="s">
        <v>118</v>
      </c>
      <c r="N50" s="11" t="s">
        <v>52</v>
      </c>
      <c r="P50" s="28">
        <v>7.7</v>
      </c>
      <c r="Q50" s="64">
        <v>11.963194444440887</v>
      </c>
      <c r="R50" s="64">
        <f>Q50-P50</f>
        <v>4.2631944444408871</v>
      </c>
      <c r="T50" s="28" t="s">
        <v>116</v>
      </c>
      <c r="U50" s="28">
        <v>1200</v>
      </c>
      <c r="V50" s="28" t="s">
        <v>36</v>
      </c>
      <c r="W50" s="28" t="s">
        <v>36</v>
      </c>
      <c r="Y50" s="76" t="s">
        <v>117</v>
      </c>
    </row>
    <row r="51" spans="1:25" ht="60" customHeight="1">
      <c r="A51" s="11" t="s">
        <v>29</v>
      </c>
      <c r="B51" s="11" t="s">
        <v>108</v>
      </c>
      <c r="C51" s="11" t="s">
        <v>109</v>
      </c>
      <c r="D51" s="11" t="s">
        <v>40</v>
      </c>
      <c r="E51" s="12">
        <v>90</v>
      </c>
      <c r="F51" s="40">
        <v>46156</v>
      </c>
      <c r="G51" s="15">
        <v>0.25138888888888888</v>
      </c>
      <c r="H51" s="45"/>
      <c r="I51" s="15"/>
      <c r="J51" s="40">
        <v>46156</v>
      </c>
      <c r="K51" s="15">
        <v>0.41736111111111113</v>
      </c>
      <c r="L51" s="44">
        <f>((J51+K51)-(F51+G51))*24</f>
        <v>3.9833333333954215</v>
      </c>
      <c r="M51" s="16" t="s">
        <v>110</v>
      </c>
      <c r="N51" s="11" t="s">
        <v>42</v>
      </c>
      <c r="P51" s="60" t="s">
        <v>33</v>
      </c>
      <c r="Q51" s="28" t="s">
        <v>33</v>
      </c>
      <c r="R51" s="28" t="s">
        <v>33</v>
      </c>
      <c r="T51" s="28" t="s">
        <v>36</v>
      </c>
      <c r="U51" s="28" t="s">
        <v>36</v>
      </c>
      <c r="V51" s="28" t="s">
        <v>36</v>
      </c>
      <c r="W51" s="28" t="s">
        <v>36</v>
      </c>
      <c r="Y51" s="159" t="s">
        <v>43</v>
      </c>
    </row>
    <row r="52" spans="1:25" ht="60" customHeight="1">
      <c r="A52" s="11" t="s">
        <v>29</v>
      </c>
      <c r="B52" s="11" t="s">
        <v>63</v>
      </c>
      <c r="C52" s="11" t="s">
        <v>71</v>
      </c>
      <c r="D52" s="11" t="s">
        <v>68</v>
      </c>
      <c r="E52" s="12">
        <v>35</v>
      </c>
      <c r="F52" s="40">
        <v>46156</v>
      </c>
      <c r="G52" s="13">
        <v>8.4027777777777785E-2</v>
      </c>
      <c r="H52" s="14"/>
      <c r="I52" s="15"/>
      <c r="J52" s="40">
        <v>46159</v>
      </c>
      <c r="K52" s="15">
        <v>0.99444444444444446</v>
      </c>
      <c r="L52" s="44">
        <f>((J52+K52)-(F52+G52))*24</f>
        <v>93.849999999976717</v>
      </c>
      <c r="M52" s="16" t="s">
        <v>119</v>
      </c>
      <c r="N52" s="11" t="s">
        <v>42</v>
      </c>
      <c r="P52" s="28" t="s">
        <v>33</v>
      </c>
      <c r="Q52" s="28" t="s">
        <v>33</v>
      </c>
      <c r="R52" s="28" t="s">
        <v>33</v>
      </c>
      <c r="T52" s="28" t="s">
        <v>66</v>
      </c>
      <c r="U52" s="28">
        <v>7.5</v>
      </c>
      <c r="V52" s="27" t="s">
        <v>73</v>
      </c>
      <c r="W52" s="28">
        <v>34</v>
      </c>
      <c r="Y52" s="159"/>
    </row>
    <row r="53" spans="1:25" ht="60" customHeight="1">
      <c r="A53" s="11" t="s">
        <v>29</v>
      </c>
      <c r="B53" s="11" t="s">
        <v>63</v>
      </c>
      <c r="C53" s="11" t="s">
        <v>71</v>
      </c>
      <c r="D53" s="11" t="s">
        <v>68</v>
      </c>
      <c r="E53" s="12">
        <v>35</v>
      </c>
      <c r="F53" s="40">
        <v>46156</v>
      </c>
      <c r="G53" s="13">
        <v>5.0694444444444445E-2</v>
      </c>
      <c r="H53" s="14"/>
      <c r="I53" s="15"/>
      <c r="J53" s="40">
        <v>46156</v>
      </c>
      <c r="K53" s="15">
        <v>8.4027777777777785E-2</v>
      </c>
      <c r="L53" s="44">
        <f>((J53+K53)-(F53+G53))*24</f>
        <v>0.79999999998835847</v>
      </c>
      <c r="M53" s="11" t="s">
        <v>120</v>
      </c>
      <c r="N53" s="11" t="s">
        <v>42</v>
      </c>
      <c r="P53" s="28">
        <v>6.8</v>
      </c>
      <c r="Q53" s="28">
        <v>20</v>
      </c>
      <c r="R53" s="70">
        <f>Q53-P53</f>
        <v>13.2</v>
      </c>
      <c r="T53" s="28" t="s">
        <v>66</v>
      </c>
      <c r="U53" s="28">
        <v>7.5</v>
      </c>
      <c r="V53" s="27" t="s">
        <v>73</v>
      </c>
      <c r="W53" s="28">
        <v>34</v>
      </c>
      <c r="Y53" s="159"/>
    </row>
    <row r="54" spans="1:25" ht="60" customHeight="1">
      <c r="A54" s="11" t="s">
        <v>29</v>
      </c>
      <c r="B54" s="11" t="s">
        <v>63</v>
      </c>
      <c r="C54" s="11" t="s">
        <v>64</v>
      </c>
      <c r="D54" s="11" t="s">
        <v>68</v>
      </c>
      <c r="E54" s="12">
        <v>37.5</v>
      </c>
      <c r="F54" s="40">
        <v>46156</v>
      </c>
      <c r="G54" s="13">
        <v>1.3888888888888889E-3</v>
      </c>
      <c r="H54" s="14"/>
      <c r="I54" s="15"/>
      <c r="J54" s="40">
        <v>46156</v>
      </c>
      <c r="K54" s="15">
        <v>0.3298611111111111</v>
      </c>
      <c r="L54" s="44">
        <f>((J54+K54)-(F54+G54))*24</f>
        <v>7.8833333333604969</v>
      </c>
      <c r="M54" s="16" t="s">
        <v>121</v>
      </c>
      <c r="N54" s="11" t="s">
        <v>42</v>
      </c>
      <c r="P54" s="28" t="s">
        <v>33</v>
      </c>
      <c r="Q54" s="28" t="s">
        <v>33</v>
      </c>
      <c r="R54" s="28" t="s">
        <v>33</v>
      </c>
      <c r="T54" s="28" t="s">
        <v>66</v>
      </c>
      <c r="U54" s="28">
        <v>7.5</v>
      </c>
      <c r="V54" s="28" t="s">
        <v>67</v>
      </c>
      <c r="W54" s="28">
        <v>23</v>
      </c>
      <c r="Y54" s="159"/>
    </row>
    <row r="55" spans="1:25" ht="60" customHeight="1">
      <c r="A55" s="11" t="s">
        <v>29</v>
      </c>
      <c r="B55" s="11" t="s">
        <v>63</v>
      </c>
      <c r="C55" s="11" t="s">
        <v>71</v>
      </c>
      <c r="D55" s="11" t="s">
        <v>32</v>
      </c>
      <c r="E55" s="12">
        <v>35</v>
      </c>
      <c r="F55" s="40">
        <v>46156</v>
      </c>
      <c r="G55" s="13">
        <v>0</v>
      </c>
      <c r="H55" s="14"/>
      <c r="I55" s="15"/>
      <c r="J55" s="40">
        <v>46156</v>
      </c>
      <c r="K55" s="15">
        <v>6.805555555555555E-2</v>
      </c>
      <c r="L55" s="44">
        <f>((J55+K55)-(F55+G55))*24</f>
        <v>1.6333333334187046</v>
      </c>
      <c r="M55" s="16" t="s">
        <v>122</v>
      </c>
      <c r="N55" s="11" t="s">
        <v>42</v>
      </c>
      <c r="P55" s="28" t="s">
        <v>33</v>
      </c>
      <c r="Q55" s="28" t="s">
        <v>33</v>
      </c>
      <c r="R55" s="28" t="s">
        <v>33</v>
      </c>
      <c r="T55" s="28" t="s">
        <v>66</v>
      </c>
      <c r="U55" s="28">
        <v>7.5</v>
      </c>
      <c r="V55" s="27" t="s">
        <v>73</v>
      </c>
      <c r="W55" s="28">
        <v>34</v>
      </c>
      <c r="Y55" s="159"/>
    </row>
    <row r="56" spans="1:25" ht="60" customHeight="1">
      <c r="A56" s="11" t="s">
        <v>29</v>
      </c>
      <c r="B56" s="11" t="s">
        <v>108</v>
      </c>
      <c r="C56" s="11" t="s">
        <v>109</v>
      </c>
      <c r="D56" s="11" t="s">
        <v>56</v>
      </c>
      <c r="E56" s="12">
        <v>90</v>
      </c>
      <c r="F56" s="40">
        <v>46156</v>
      </c>
      <c r="G56" s="15">
        <v>0</v>
      </c>
      <c r="H56" s="45"/>
      <c r="I56" s="15"/>
      <c r="J56" s="40">
        <v>46156</v>
      </c>
      <c r="K56" s="15">
        <v>0.53194444444444444</v>
      </c>
      <c r="L56" s="44">
        <f>((J56+K56)-(F56+G56))*24</f>
        <v>12.766666666720994</v>
      </c>
      <c r="M56" s="16" t="s">
        <v>110</v>
      </c>
      <c r="N56" s="11" t="s">
        <v>42</v>
      </c>
      <c r="P56" s="60" t="s">
        <v>33</v>
      </c>
      <c r="Q56" s="28" t="s">
        <v>33</v>
      </c>
      <c r="R56" s="28" t="s">
        <v>33</v>
      </c>
      <c r="T56" s="28" t="s">
        <v>36</v>
      </c>
      <c r="U56" s="28" t="s">
        <v>36</v>
      </c>
      <c r="V56" s="28" t="s">
        <v>36</v>
      </c>
      <c r="W56" s="28" t="s">
        <v>36</v>
      </c>
      <c r="Y56" s="159"/>
    </row>
    <row r="57" spans="1:25" ht="60" customHeight="1">
      <c r="A57" s="11" t="s">
        <v>29</v>
      </c>
      <c r="B57" s="11" t="s">
        <v>123</v>
      </c>
      <c r="C57" s="11" t="s">
        <v>124</v>
      </c>
      <c r="D57" s="11" t="s">
        <v>125</v>
      </c>
      <c r="E57" s="12">
        <v>718.25</v>
      </c>
      <c r="F57" s="40">
        <v>46155</v>
      </c>
      <c r="G57" s="13">
        <v>0.91041666666666665</v>
      </c>
      <c r="H57" s="21"/>
      <c r="I57" s="13"/>
      <c r="J57" s="40">
        <v>46159</v>
      </c>
      <c r="K57" s="15">
        <v>0.9375</v>
      </c>
      <c r="L57" s="44">
        <f>((J57+K57)-(F57+G57))*24</f>
        <v>96.650000000023283</v>
      </c>
      <c r="M57" s="15" t="s">
        <v>126</v>
      </c>
      <c r="N57" s="11" t="s">
        <v>52</v>
      </c>
      <c r="P57" s="28">
        <v>7.7</v>
      </c>
      <c r="Q57" s="28">
        <v>5.2</v>
      </c>
      <c r="R57" s="69">
        <f>Q57-P57</f>
        <v>-2.5</v>
      </c>
      <c r="T57" s="28" t="s">
        <v>116</v>
      </c>
      <c r="U57" s="28">
        <v>1200</v>
      </c>
      <c r="V57" s="28" t="s">
        <v>36</v>
      </c>
      <c r="W57" s="28" t="s">
        <v>36</v>
      </c>
      <c r="Y57" s="160" t="s">
        <v>117</v>
      </c>
    </row>
    <row r="58" spans="1:25" ht="60" customHeight="1">
      <c r="A58" s="11" t="s">
        <v>29</v>
      </c>
      <c r="B58" s="11" t="s">
        <v>123</v>
      </c>
      <c r="C58" s="11" t="s">
        <v>124</v>
      </c>
      <c r="D58" s="11" t="s">
        <v>127</v>
      </c>
      <c r="E58" s="12">
        <v>718.25</v>
      </c>
      <c r="F58" s="40">
        <v>46155</v>
      </c>
      <c r="G58" s="13">
        <v>0.91041666666666665</v>
      </c>
      <c r="H58" s="21"/>
      <c r="I58" s="13"/>
      <c r="J58" s="40">
        <v>46160</v>
      </c>
      <c r="K58" s="15">
        <v>0.26458333333333334</v>
      </c>
      <c r="L58" s="44">
        <f>((J58+K58)-(F58+G58))*24</f>
        <v>104.49999999994179</v>
      </c>
      <c r="M58" s="15" t="s">
        <v>126</v>
      </c>
      <c r="N58" s="11" t="s">
        <v>52</v>
      </c>
      <c r="P58" s="28">
        <v>7.7</v>
      </c>
      <c r="Q58" s="28">
        <v>115.79</v>
      </c>
      <c r="R58" s="70">
        <f>Q58-P58</f>
        <v>108.09</v>
      </c>
      <c r="T58" s="28" t="s">
        <v>116</v>
      </c>
      <c r="U58" s="28">
        <v>1200</v>
      </c>
      <c r="V58" s="28" t="s">
        <v>36</v>
      </c>
      <c r="W58" s="28" t="s">
        <v>36</v>
      </c>
      <c r="Y58" s="160"/>
    </row>
    <row r="59" spans="1:25" ht="60" customHeight="1">
      <c r="A59" s="11" t="s">
        <v>29</v>
      </c>
      <c r="B59" s="11" t="s">
        <v>63</v>
      </c>
      <c r="C59" s="11" t="s">
        <v>64</v>
      </c>
      <c r="D59" s="11" t="s">
        <v>40</v>
      </c>
      <c r="E59" s="12">
        <v>37.5</v>
      </c>
      <c r="F59" s="40">
        <v>46155</v>
      </c>
      <c r="G59" s="13">
        <v>0.90555555555555556</v>
      </c>
      <c r="H59" s="21"/>
      <c r="I59" s="13"/>
      <c r="J59" s="40">
        <v>46155</v>
      </c>
      <c r="K59" s="13">
        <v>0.9916666666666667</v>
      </c>
      <c r="L59" s="44">
        <f>((J59+K59)-(F59+G59))*24</f>
        <v>2.0666666667675599</v>
      </c>
      <c r="M59" s="19" t="s">
        <v>107</v>
      </c>
      <c r="N59" s="11" t="s">
        <v>42</v>
      </c>
      <c r="P59" s="28" t="s">
        <v>33</v>
      </c>
      <c r="Q59" s="28" t="s">
        <v>33</v>
      </c>
      <c r="R59" s="28" t="s">
        <v>33</v>
      </c>
      <c r="T59" s="28" t="s">
        <v>66</v>
      </c>
      <c r="U59" s="28">
        <v>7.5</v>
      </c>
      <c r="V59" s="28" t="s">
        <v>67</v>
      </c>
      <c r="W59" s="28">
        <v>23</v>
      </c>
      <c r="Y59" s="159" t="s">
        <v>43</v>
      </c>
    </row>
    <row r="60" spans="1:25" ht="60" customHeight="1">
      <c r="A60" s="11" t="s">
        <v>29</v>
      </c>
      <c r="B60" s="11" t="s">
        <v>38</v>
      </c>
      <c r="C60" s="11" t="s">
        <v>83</v>
      </c>
      <c r="D60" s="11" t="s">
        <v>40</v>
      </c>
      <c r="E60" s="12">
        <v>155.55000000000001</v>
      </c>
      <c r="F60" s="40">
        <v>46155</v>
      </c>
      <c r="G60" s="13">
        <v>0.66666666666666663</v>
      </c>
      <c r="H60" s="21"/>
      <c r="I60" s="13"/>
      <c r="J60" s="40">
        <v>46157</v>
      </c>
      <c r="K60" s="15">
        <v>0.34444444444444444</v>
      </c>
      <c r="L60" s="44">
        <f>((J60+K60)-(F60+G60))*24</f>
        <v>40.266666666779201</v>
      </c>
      <c r="M60" s="16" t="s">
        <v>41</v>
      </c>
      <c r="N60" s="11" t="s">
        <v>42</v>
      </c>
      <c r="O60" s="18"/>
      <c r="P60" s="28" t="s">
        <v>33</v>
      </c>
      <c r="Q60" s="28" t="s">
        <v>33</v>
      </c>
      <c r="R60" s="28" t="s">
        <v>33</v>
      </c>
      <c r="T60" s="28" t="s">
        <v>36</v>
      </c>
      <c r="U60" s="28" t="s">
        <v>36</v>
      </c>
      <c r="V60" s="28" t="s">
        <v>36</v>
      </c>
      <c r="W60" s="28" t="s">
        <v>36</v>
      </c>
      <c r="Y60" s="159"/>
    </row>
    <row r="61" spans="1:25" ht="60" customHeight="1">
      <c r="A61" s="11" t="s">
        <v>29</v>
      </c>
      <c r="B61" s="11" t="s">
        <v>38</v>
      </c>
      <c r="C61" s="11" t="s">
        <v>83</v>
      </c>
      <c r="D61" s="11" t="s">
        <v>56</v>
      </c>
      <c r="E61" s="12">
        <v>175.1</v>
      </c>
      <c r="F61" s="40">
        <v>46155</v>
      </c>
      <c r="G61" s="13">
        <v>0.66666666666666663</v>
      </c>
      <c r="H61" s="21"/>
      <c r="I61" s="13"/>
      <c r="J61" s="40">
        <v>46157</v>
      </c>
      <c r="K61" s="15">
        <v>0.35902777777777778</v>
      </c>
      <c r="L61" s="44">
        <f>((J61+K61)-(F61+G61))*24</f>
        <v>40.616666666697711</v>
      </c>
      <c r="M61" s="16" t="s">
        <v>41</v>
      </c>
      <c r="N61" s="11" t="s">
        <v>42</v>
      </c>
      <c r="P61" s="28" t="s">
        <v>33</v>
      </c>
      <c r="Q61" s="28" t="s">
        <v>33</v>
      </c>
      <c r="R61" s="28" t="s">
        <v>33</v>
      </c>
      <c r="T61" s="28" t="s">
        <v>36</v>
      </c>
      <c r="U61" s="28" t="s">
        <v>36</v>
      </c>
      <c r="V61" s="28" t="s">
        <v>36</v>
      </c>
      <c r="W61" s="28" t="s">
        <v>36</v>
      </c>
      <c r="Y61" s="159"/>
    </row>
    <row r="62" spans="1:25" ht="60" customHeight="1">
      <c r="A62" s="11" t="s">
        <v>29</v>
      </c>
      <c r="B62" s="11" t="s">
        <v>63</v>
      </c>
      <c r="C62" s="11" t="s">
        <v>64</v>
      </c>
      <c r="D62" s="11" t="s">
        <v>40</v>
      </c>
      <c r="E62" s="12">
        <v>37.5</v>
      </c>
      <c r="F62" s="40">
        <v>46155</v>
      </c>
      <c r="G62" s="15">
        <v>0.3347222222222222</v>
      </c>
      <c r="H62" s="37"/>
      <c r="I62" s="15"/>
      <c r="J62" s="40">
        <v>46155</v>
      </c>
      <c r="K62" s="15">
        <v>0.62569444444444444</v>
      </c>
      <c r="L62" s="44">
        <f>((J62+K62)-(F62+G62))*24</f>
        <v>6.9833333333954215</v>
      </c>
      <c r="M62" s="27" t="s">
        <v>128</v>
      </c>
      <c r="N62" s="11" t="s">
        <v>42</v>
      </c>
      <c r="P62" s="28">
        <v>6.8</v>
      </c>
      <c r="Q62" s="28">
        <v>25.65</v>
      </c>
      <c r="R62" s="70">
        <f>Q62-P62</f>
        <v>18.849999999999998</v>
      </c>
      <c r="T62" s="28" t="s">
        <v>66</v>
      </c>
      <c r="U62" s="28">
        <v>7.5</v>
      </c>
      <c r="V62" s="28" t="s">
        <v>67</v>
      </c>
      <c r="W62" s="28">
        <v>23</v>
      </c>
      <c r="Y62" s="74" t="s">
        <v>43</v>
      </c>
    </row>
    <row r="63" spans="1:25" ht="60" customHeight="1">
      <c r="A63" s="11" t="s">
        <v>29</v>
      </c>
      <c r="B63" s="11" t="s">
        <v>129</v>
      </c>
      <c r="C63" s="11" t="s">
        <v>130</v>
      </c>
      <c r="D63" s="11" t="s">
        <v>68</v>
      </c>
      <c r="E63" s="12">
        <v>20</v>
      </c>
      <c r="F63" s="40">
        <v>46155</v>
      </c>
      <c r="G63" s="15">
        <v>0.27500000000000002</v>
      </c>
      <c r="H63" s="37"/>
      <c r="I63" s="15"/>
      <c r="J63" s="40">
        <v>46155</v>
      </c>
      <c r="K63" s="15">
        <v>0.87708333333333333</v>
      </c>
      <c r="L63" s="44">
        <f>((J63+K63)-(F63+G63))*24</f>
        <v>14.449999999953434</v>
      </c>
      <c r="M63" s="15" t="s">
        <v>131</v>
      </c>
      <c r="N63" s="11" t="s">
        <v>102</v>
      </c>
      <c r="P63" s="28">
        <v>13.7</v>
      </c>
      <c r="Q63" s="72">
        <v>2.21</v>
      </c>
      <c r="R63" s="28">
        <f>Q63-P63</f>
        <v>-11.489999999999998</v>
      </c>
      <c r="T63" s="28" t="s">
        <v>36</v>
      </c>
      <c r="U63" s="28" t="s">
        <v>36</v>
      </c>
      <c r="V63" s="28" t="s">
        <v>36</v>
      </c>
      <c r="W63" s="28" t="s">
        <v>36</v>
      </c>
      <c r="Y63" s="74" t="s">
        <v>53</v>
      </c>
    </row>
    <row r="64" spans="1:25" ht="60" customHeight="1">
      <c r="A64" s="11" t="s">
        <v>29</v>
      </c>
      <c r="B64" s="11" t="s">
        <v>132</v>
      </c>
      <c r="C64" s="11" t="s">
        <v>133</v>
      </c>
      <c r="D64" s="11" t="s">
        <v>68</v>
      </c>
      <c r="E64" s="12">
        <v>335</v>
      </c>
      <c r="F64" s="40">
        <v>46155</v>
      </c>
      <c r="G64" s="13">
        <v>0.27361111111111114</v>
      </c>
      <c r="H64" s="21"/>
      <c r="I64" s="13"/>
      <c r="J64" s="40">
        <v>46155</v>
      </c>
      <c r="K64" s="15">
        <v>0.68125000000000002</v>
      </c>
      <c r="L64" s="44">
        <f>((J64+K64)-(F64+G64))*24</f>
        <v>9.7833333334419876</v>
      </c>
      <c r="M64" s="15" t="s">
        <v>134</v>
      </c>
      <c r="N64" s="11" t="s">
        <v>96</v>
      </c>
      <c r="P64" s="28">
        <v>16.8</v>
      </c>
      <c r="Q64" s="28">
        <v>2.74</v>
      </c>
      <c r="R64" s="28">
        <f>Q64-P64</f>
        <v>-14.06</v>
      </c>
      <c r="T64" s="27" t="s">
        <v>135</v>
      </c>
      <c r="U64" s="28">
        <v>336.84</v>
      </c>
      <c r="V64" s="28" t="s">
        <v>36</v>
      </c>
      <c r="W64" s="28" t="s">
        <v>36</v>
      </c>
      <c r="Y64" s="74" t="s">
        <v>136</v>
      </c>
    </row>
    <row r="65" spans="1:25" ht="60" customHeight="1">
      <c r="A65" s="11" t="s">
        <v>29</v>
      </c>
      <c r="B65" s="11" t="s">
        <v>123</v>
      </c>
      <c r="C65" s="11" t="s">
        <v>124</v>
      </c>
      <c r="D65" s="11" t="s">
        <v>125</v>
      </c>
      <c r="E65" s="12">
        <v>718.25</v>
      </c>
      <c r="F65" s="40">
        <v>46155</v>
      </c>
      <c r="G65" s="13">
        <v>0.27083333333333331</v>
      </c>
      <c r="H65" s="21"/>
      <c r="I65" s="13"/>
      <c r="J65" s="40">
        <v>46155</v>
      </c>
      <c r="K65" s="15">
        <v>0.91041666666666665</v>
      </c>
      <c r="L65" s="44">
        <f>((J65+K65)-(F65+G65))*24</f>
        <v>15.349999999918509</v>
      </c>
      <c r="M65" s="15" t="s">
        <v>137</v>
      </c>
      <c r="N65" s="11" t="s">
        <v>52</v>
      </c>
      <c r="P65" s="60" t="s">
        <v>33</v>
      </c>
      <c r="Q65" s="28" t="s">
        <v>33</v>
      </c>
      <c r="R65" s="28" t="s">
        <v>33</v>
      </c>
      <c r="T65" s="28" t="s">
        <v>116</v>
      </c>
      <c r="U65" s="28">
        <v>1200</v>
      </c>
      <c r="V65" s="28" t="s">
        <v>36</v>
      </c>
      <c r="W65" s="28" t="s">
        <v>36</v>
      </c>
      <c r="Y65" s="149" t="s">
        <v>138</v>
      </c>
    </row>
    <row r="66" spans="1:25" ht="60" customHeight="1">
      <c r="A66" s="11" t="s">
        <v>29</v>
      </c>
      <c r="B66" s="11" t="s">
        <v>123</v>
      </c>
      <c r="C66" s="11" t="s">
        <v>124</v>
      </c>
      <c r="D66" s="11" t="s">
        <v>127</v>
      </c>
      <c r="E66" s="12">
        <v>718.25</v>
      </c>
      <c r="F66" s="40">
        <v>46155</v>
      </c>
      <c r="G66" s="13">
        <v>0.27083333333333331</v>
      </c>
      <c r="H66" s="21"/>
      <c r="I66" s="13"/>
      <c r="J66" s="40">
        <v>46155</v>
      </c>
      <c r="K66" s="15">
        <v>0.91041666666666665</v>
      </c>
      <c r="L66" s="44">
        <f>((J66+K66)-(F66+G66))*24</f>
        <v>15.349999999918509</v>
      </c>
      <c r="M66" s="15" t="s">
        <v>137</v>
      </c>
      <c r="N66" s="11" t="s">
        <v>52</v>
      </c>
      <c r="P66" s="60" t="s">
        <v>33</v>
      </c>
      <c r="Q66" s="28" t="s">
        <v>33</v>
      </c>
      <c r="R66" s="28" t="s">
        <v>33</v>
      </c>
      <c r="T66" s="28" t="s">
        <v>116</v>
      </c>
      <c r="U66" s="28">
        <v>1200</v>
      </c>
      <c r="V66" s="28" t="s">
        <v>36</v>
      </c>
      <c r="W66" s="28" t="s">
        <v>36</v>
      </c>
      <c r="Y66" s="155"/>
    </row>
    <row r="67" spans="1:25" ht="60" customHeight="1">
      <c r="A67" s="11" t="s">
        <v>29</v>
      </c>
      <c r="B67" s="11" t="s">
        <v>113</v>
      </c>
      <c r="C67" s="11" t="s">
        <v>114</v>
      </c>
      <c r="D67" s="11" t="s">
        <v>32</v>
      </c>
      <c r="E67" s="12">
        <v>440</v>
      </c>
      <c r="F67" s="40">
        <v>46155</v>
      </c>
      <c r="G67" s="13">
        <v>0.27083333333333331</v>
      </c>
      <c r="H67" s="21"/>
      <c r="I67" s="13"/>
      <c r="J67" s="40">
        <v>46155</v>
      </c>
      <c r="K67" s="15">
        <v>0.91041666666666665</v>
      </c>
      <c r="L67" s="44">
        <f>((J67+K67)-(F67+G67))*24</f>
        <v>15.349999999918509</v>
      </c>
      <c r="M67" s="15" t="s">
        <v>137</v>
      </c>
      <c r="N67" s="11" t="s">
        <v>52</v>
      </c>
      <c r="P67" s="28">
        <v>7.7</v>
      </c>
      <c r="Q67" s="64">
        <v>83.641666666662786</v>
      </c>
      <c r="R67" s="64">
        <f>Q67-P67</f>
        <v>75.941666666662783</v>
      </c>
      <c r="T67" s="28" t="s">
        <v>116</v>
      </c>
      <c r="U67" s="28">
        <v>1200</v>
      </c>
      <c r="V67" s="28" t="s">
        <v>36</v>
      </c>
      <c r="W67" s="28" t="s">
        <v>36</v>
      </c>
      <c r="Y67" s="155"/>
    </row>
    <row r="68" spans="1:25" ht="60" customHeight="1">
      <c r="A68" s="11" t="s">
        <v>29</v>
      </c>
      <c r="B68" s="11" t="s">
        <v>113</v>
      </c>
      <c r="C68" s="11" t="s">
        <v>114</v>
      </c>
      <c r="D68" s="11" t="s">
        <v>40</v>
      </c>
      <c r="E68" s="12">
        <v>440</v>
      </c>
      <c r="F68" s="40">
        <v>46155</v>
      </c>
      <c r="G68" s="13">
        <v>0.27083333333333331</v>
      </c>
      <c r="H68" s="21"/>
      <c r="I68" s="13"/>
      <c r="J68" s="40">
        <v>46156</v>
      </c>
      <c r="K68" s="15">
        <v>0.31319444444444444</v>
      </c>
      <c r="L68" s="44">
        <f>((J68+K68)-(F68+G68))*24</f>
        <v>25.016666666662786</v>
      </c>
      <c r="M68" s="15" t="s">
        <v>137</v>
      </c>
      <c r="N68" s="11" t="s">
        <v>52</v>
      </c>
      <c r="P68" s="28">
        <v>7.7</v>
      </c>
      <c r="Q68" s="64">
        <v>22.167361111431092</v>
      </c>
      <c r="R68" s="64">
        <f>Q68-P68</f>
        <v>14.467361111431092</v>
      </c>
      <c r="T68" s="28" t="s">
        <v>116</v>
      </c>
      <c r="U68" s="28">
        <v>1200</v>
      </c>
      <c r="V68" s="28" t="s">
        <v>36</v>
      </c>
      <c r="W68" s="28" t="s">
        <v>36</v>
      </c>
      <c r="Y68" s="155"/>
    </row>
    <row r="69" spans="1:25" ht="60" customHeight="1">
      <c r="A69" s="11" t="s">
        <v>29</v>
      </c>
      <c r="B69" s="11" t="s">
        <v>113</v>
      </c>
      <c r="C69" s="11" t="s">
        <v>114</v>
      </c>
      <c r="D69" s="11" t="s">
        <v>68</v>
      </c>
      <c r="E69" s="12">
        <v>440</v>
      </c>
      <c r="F69" s="40">
        <v>46155</v>
      </c>
      <c r="G69" s="13">
        <v>0.27083333333333331</v>
      </c>
      <c r="H69" s="21"/>
      <c r="I69" s="13"/>
      <c r="J69" s="40">
        <v>46155</v>
      </c>
      <c r="K69" s="15">
        <v>0.91041666666666665</v>
      </c>
      <c r="L69" s="44">
        <f>((J69+K69)-(F69+G69))*24</f>
        <v>15.349999999918509</v>
      </c>
      <c r="M69" s="15" t="s">
        <v>137</v>
      </c>
      <c r="N69" s="11" t="s">
        <v>52</v>
      </c>
      <c r="P69" s="28">
        <v>7.7</v>
      </c>
      <c r="Q69" s="64">
        <v>11.963194444440887</v>
      </c>
      <c r="R69" s="64">
        <f>Q69-P69</f>
        <v>4.2631944444408871</v>
      </c>
      <c r="T69" s="28" t="s">
        <v>116</v>
      </c>
      <c r="U69" s="28">
        <v>1200</v>
      </c>
      <c r="V69" s="28" t="s">
        <v>36</v>
      </c>
      <c r="W69" s="28" t="s">
        <v>36</v>
      </c>
      <c r="Y69" s="156"/>
    </row>
    <row r="70" spans="1:25" ht="60" customHeight="1">
      <c r="A70" s="11" t="s">
        <v>29</v>
      </c>
      <c r="B70" s="11" t="s">
        <v>129</v>
      </c>
      <c r="C70" s="11" t="s">
        <v>139</v>
      </c>
      <c r="D70" s="11" t="s">
        <v>32</v>
      </c>
      <c r="E70" s="12">
        <v>35.700000000000003</v>
      </c>
      <c r="F70" s="40">
        <v>46155</v>
      </c>
      <c r="G70" s="15">
        <v>0.27083333333333331</v>
      </c>
      <c r="H70" s="15"/>
      <c r="I70" s="15"/>
      <c r="J70" s="40">
        <v>46157</v>
      </c>
      <c r="K70" s="15">
        <v>0.69652777777777775</v>
      </c>
      <c r="L70" s="44">
        <f>((J70+K70)-(F70+G70))*24</f>
        <v>58.21666666661622</v>
      </c>
      <c r="M70" s="11" t="s">
        <v>140</v>
      </c>
      <c r="N70" s="11" t="s">
        <v>102</v>
      </c>
      <c r="P70" s="28">
        <v>13.7</v>
      </c>
      <c r="Q70" s="28">
        <v>42.22</v>
      </c>
      <c r="R70" s="70">
        <f>Q70-P70</f>
        <v>28.52</v>
      </c>
      <c r="T70" s="27" t="s">
        <v>141</v>
      </c>
      <c r="U70" s="28">
        <v>75</v>
      </c>
      <c r="V70" s="28" t="s">
        <v>36</v>
      </c>
      <c r="W70" s="28" t="s">
        <v>36</v>
      </c>
      <c r="Y70" s="74" t="s">
        <v>53</v>
      </c>
    </row>
    <row r="71" spans="1:25" ht="60" customHeight="1">
      <c r="A71" s="11" t="s">
        <v>29</v>
      </c>
      <c r="B71" s="11" t="s">
        <v>108</v>
      </c>
      <c r="C71" s="11" t="s">
        <v>109</v>
      </c>
      <c r="D71" s="11" t="s">
        <v>40</v>
      </c>
      <c r="E71" s="12">
        <v>90</v>
      </c>
      <c r="F71" s="40">
        <v>46155</v>
      </c>
      <c r="G71" s="15">
        <v>0.17083333333333334</v>
      </c>
      <c r="H71" s="15"/>
      <c r="I71" s="15"/>
      <c r="J71" s="40">
        <v>46155</v>
      </c>
      <c r="K71" s="15">
        <v>0.41875000000000001</v>
      </c>
      <c r="L71" s="44">
        <f t="shared" ref="L71:L86" si="2">((J71+K71)-(F71+G71))*24</f>
        <v>5.9500000000116415</v>
      </c>
      <c r="M71" s="16" t="s">
        <v>142</v>
      </c>
      <c r="N71" s="11" t="s">
        <v>42</v>
      </c>
      <c r="P71" s="60" t="s">
        <v>33</v>
      </c>
      <c r="Q71" s="28" t="s">
        <v>33</v>
      </c>
      <c r="R71" s="28" t="s">
        <v>33</v>
      </c>
      <c r="T71" s="28" t="s">
        <v>36</v>
      </c>
      <c r="U71" s="28" t="s">
        <v>36</v>
      </c>
      <c r="V71" s="28" t="s">
        <v>36</v>
      </c>
      <c r="W71" s="28" t="s">
        <v>36</v>
      </c>
      <c r="Y71" s="150" t="s">
        <v>43</v>
      </c>
    </row>
    <row r="72" spans="1:25" ht="60" customHeight="1">
      <c r="A72" s="11" t="s">
        <v>29</v>
      </c>
      <c r="B72" s="11" t="s">
        <v>63</v>
      </c>
      <c r="C72" s="11" t="s">
        <v>71</v>
      </c>
      <c r="D72" s="11" t="s">
        <v>68</v>
      </c>
      <c r="E72" s="12">
        <v>35</v>
      </c>
      <c r="F72" s="40">
        <v>46155</v>
      </c>
      <c r="G72" s="13">
        <v>7.6388888888888886E-3</v>
      </c>
      <c r="H72" s="14"/>
      <c r="I72" s="15"/>
      <c r="J72" s="40">
        <v>46155</v>
      </c>
      <c r="K72" s="15">
        <v>0.99236111111111114</v>
      </c>
      <c r="L72" s="44">
        <f t="shared" si="2"/>
        <v>23.633333333185874</v>
      </c>
      <c r="M72" s="16" t="s">
        <v>122</v>
      </c>
      <c r="N72" s="11" t="s">
        <v>42</v>
      </c>
      <c r="P72" s="28" t="s">
        <v>33</v>
      </c>
      <c r="Q72" s="28" t="s">
        <v>33</v>
      </c>
      <c r="R72" s="28" t="s">
        <v>33</v>
      </c>
      <c r="T72" s="28" t="s">
        <v>66</v>
      </c>
      <c r="U72" s="28">
        <v>7.5</v>
      </c>
      <c r="V72" s="27" t="s">
        <v>73</v>
      </c>
      <c r="W72" s="28">
        <v>34</v>
      </c>
      <c r="Y72" s="161"/>
    </row>
    <row r="73" spans="1:25" ht="60" customHeight="1">
      <c r="A73" s="11" t="s">
        <v>29</v>
      </c>
      <c r="B73" s="11" t="s">
        <v>108</v>
      </c>
      <c r="C73" s="11" t="s">
        <v>109</v>
      </c>
      <c r="D73" s="11" t="s">
        <v>56</v>
      </c>
      <c r="E73" s="12">
        <v>90</v>
      </c>
      <c r="F73" s="40">
        <v>46155</v>
      </c>
      <c r="G73" s="15">
        <v>6.2500000000000003E-3</v>
      </c>
      <c r="H73" s="15"/>
      <c r="I73" s="15"/>
      <c r="J73" s="40">
        <v>46155</v>
      </c>
      <c r="K73" s="15">
        <v>0.50069444444444444</v>
      </c>
      <c r="L73" s="44">
        <f t="shared" si="2"/>
        <v>11.866666666755918</v>
      </c>
      <c r="M73" s="16" t="s">
        <v>142</v>
      </c>
      <c r="N73" s="11" t="s">
        <v>42</v>
      </c>
      <c r="P73" s="60" t="s">
        <v>33</v>
      </c>
      <c r="Q73" s="28" t="s">
        <v>33</v>
      </c>
      <c r="R73" s="28" t="s">
        <v>33</v>
      </c>
      <c r="T73" s="28" t="s">
        <v>36</v>
      </c>
      <c r="U73" s="28" t="s">
        <v>36</v>
      </c>
      <c r="V73" s="28" t="s">
        <v>36</v>
      </c>
      <c r="W73" s="28" t="s">
        <v>36</v>
      </c>
      <c r="Y73" s="161"/>
    </row>
    <row r="74" spans="1:25" ht="60" customHeight="1">
      <c r="A74" s="11" t="s">
        <v>29</v>
      </c>
      <c r="B74" s="11" t="s">
        <v>63</v>
      </c>
      <c r="C74" s="11" t="s">
        <v>71</v>
      </c>
      <c r="D74" s="11" t="s">
        <v>68</v>
      </c>
      <c r="E74" s="12">
        <v>35</v>
      </c>
      <c r="F74" s="40">
        <v>46154</v>
      </c>
      <c r="G74" s="13">
        <v>0.91736111111111107</v>
      </c>
      <c r="H74" s="14"/>
      <c r="I74" s="15"/>
      <c r="J74" s="40">
        <v>46155</v>
      </c>
      <c r="K74" s="15">
        <v>7.6388888888888886E-3</v>
      </c>
      <c r="L74" s="44">
        <f t="shared" si="2"/>
        <v>2.1666666667442769</v>
      </c>
      <c r="M74" s="11" t="s">
        <v>143</v>
      </c>
      <c r="N74" s="11" t="s">
        <v>42</v>
      </c>
      <c r="P74" s="28" t="s">
        <v>33</v>
      </c>
      <c r="Q74" s="28" t="s">
        <v>33</v>
      </c>
      <c r="R74" s="28" t="s">
        <v>33</v>
      </c>
      <c r="T74" s="28" t="s">
        <v>66</v>
      </c>
      <c r="U74" s="28">
        <v>7.5</v>
      </c>
      <c r="V74" s="27" t="s">
        <v>73</v>
      </c>
      <c r="W74" s="28">
        <v>34</v>
      </c>
      <c r="Y74" s="161"/>
    </row>
    <row r="75" spans="1:25" ht="60" customHeight="1">
      <c r="A75" s="11" t="s">
        <v>29</v>
      </c>
      <c r="B75" s="11" t="s">
        <v>63</v>
      </c>
      <c r="C75" s="11" t="s">
        <v>64</v>
      </c>
      <c r="D75" s="11" t="s">
        <v>40</v>
      </c>
      <c r="E75" s="12">
        <v>37.5</v>
      </c>
      <c r="F75" s="40">
        <v>46154</v>
      </c>
      <c r="G75" s="15">
        <v>0.33611111111111114</v>
      </c>
      <c r="H75" s="41"/>
      <c r="I75" s="42"/>
      <c r="J75" s="40">
        <v>46154</v>
      </c>
      <c r="K75" s="15">
        <v>0.76527777777777772</v>
      </c>
      <c r="L75" s="44">
        <f t="shared" si="2"/>
        <v>10.300000000046566</v>
      </c>
      <c r="M75" s="19" t="s">
        <v>107</v>
      </c>
      <c r="N75" s="11" t="s">
        <v>42</v>
      </c>
      <c r="P75" s="28" t="s">
        <v>33</v>
      </c>
      <c r="Q75" s="28" t="s">
        <v>33</v>
      </c>
      <c r="R75" s="28" t="s">
        <v>33</v>
      </c>
      <c r="T75" s="28" t="s">
        <v>66</v>
      </c>
      <c r="U75" s="28">
        <v>7.5</v>
      </c>
      <c r="V75" s="28" t="s">
        <v>67</v>
      </c>
      <c r="W75" s="28">
        <v>23</v>
      </c>
      <c r="Y75" s="161"/>
    </row>
    <row r="76" spans="1:25" ht="60" customHeight="1">
      <c r="A76" s="11" t="s">
        <v>29</v>
      </c>
      <c r="B76" s="11" t="s">
        <v>108</v>
      </c>
      <c r="C76" s="11" t="s">
        <v>109</v>
      </c>
      <c r="D76" s="11" t="s">
        <v>40</v>
      </c>
      <c r="E76" s="12">
        <v>90</v>
      </c>
      <c r="F76" s="46">
        <v>46154</v>
      </c>
      <c r="G76" s="47">
        <v>0</v>
      </c>
      <c r="H76" s="48"/>
      <c r="I76" s="15"/>
      <c r="J76" s="46">
        <v>46154</v>
      </c>
      <c r="K76" s="15">
        <v>0.54305555555555551</v>
      </c>
      <c r="L76" s="44">
        <f t="shared" si="2"/>
        <v>13.03333333338378</v>
      </c>
      <c r="M76" s="16" t="s">
        <v>110</v>
      </c>
      <c r="N76" s="11" t="s">
        <v>42</v>
      </c>
      <c r="P76" s="60" t="s">
        <v>33</v>
      </c>
      <c r="Q76" s="28" t="s">
        <v>33</v>
      </c>
      <c r="R76" s="28" t="s">
        <v>33</v>
      </c>
      <c r="T76" s="28" t="s">
        <v>36</v>
      </c>
      <c r="U76" s="28" t="s">
        <v>36</v>
      </c>
      <c r="V76" s="28" t="s">
        <v>36</v>
      </c>
      <c r="W76" s="28" t="s">
        <v>36</v>
      </c>
      <c r="Y76" s="161"/>
    </row>
    <row r="77" spans="1:25" ht="60" customHeight="1">
      <c r="A77" s="11" t="s">
        <v>29</v>
      </c>
      <c r="B77" s="11" t="s">
        <v>108</v>
      </c>
      <c r="C77" s="11" t="s">
        <v>109</v>
      </c>
      <c r="D77" s="11" t="s">
        <v>56</v>
      </c>
      <c r="E77" s="12">
        <v>90</v>
      </c>
      <c r="F77" s="35">
        <v>46154</v>
      </c>
      <c r="G77" s="47">
        <v>0</v>
      </c>
      <c r="H77" s="49"/>
      <c r="I77" s="15"/>
      <c r="J77" s="35">
        <v>46154</v>
      </c>
      <c r="K77" s="15">
        <v>0.79583333333333328</v>
      </c>
      <c r="L77" s="44">
        <f t="shared" si="2"/>
        <v>19.099999999918509</v>
      </c>
      <c r="M77" s="16" t="s">
        <v>110</v>
      </c>
      <c r="N77" s="11" t="s">
        <v>42</v>
      </c>
      <c r="P77" s="60" t="s">
        <v>33</v>
      </c>
      <c r="Q77" s="28" t="s">
        <v>33</v>
      </c>
      <c r="R77" s="28" t="s">
        <v>33</v>
      </c>
      <c r="T77" s="28" t="s">
        <v>36</v>
      </c>
      <c r="U77" s="28" t="s">
        <v>36</v>
      </c>
      <c r="V77" s="28" t="s">
        <v>36</v>
      </c>
      <c r="W77" s="28" t="s">
        <v>36</v>
      </c>
      <c r="Y77" s="161"/>
    </row>
    <row r="78" spans="1:25" ht="60" customHeight="1">
      <c r="A78" s="11" t="s">
        <v>29</v>
      </c>
      <c r="B78" s="11" t="s">
        <v>63</v>
      </c>
      <c r="C78" s="11" t="s">
        <v>71</v>
      </c>
      <c r="D78" s="11" t="s">
        <v>68</v>
      </c>
      <c r="E78" s="12">
        <v>35</v>
      </c>
      <c r="F78" s="35">
        <v>46153</v>
      </c>
      <c r="G78" s="50">
        <v>0.8666666666666667</v>
      </c>
      <c r="H78" s="14"/>
      <c r="I78" s="51"/>
      <c r="J78" s="35">
        <v>46154</v>
      </c>
      <c r="K78" s="15">
        <v>0.91736111111111107</v>
      </c>
      <c r="L78" s="44">
        <f t="shared" si="2"/>
        <v>25.21666666661622</v>
      </c>
      <c r="M78" s="16" t="s">
        <v>122</v>
      </c>
      <c r="N78" s="11" t="s">
        <v>42</v>
      </c>
      <c r="P78" s="28" t="s">
        <v>33</v>
      </c>
      <c r="Q78" s="28" t="s">
        <v>33</v>
      </c>
      <c r="R78" s="28" t="s">
        <v>33</v>
      </c>
      <c r="T78" s="28" t="s">
        <v>66</v>
      </c>
      <c r="U78" s="28">
        <v>7.5</v>
      </c>
      <c r="V78" s="27" t="s">
        <v>73</v>
      </c>
      <c r="W78" s="28">
        <v>34</v>
      </c>
      <c r="Y78" s="161"/>
    </row>
    <row r="79" spans="1:25" ht="60" customHeight="1">
      <c r="A79" s="11" t="s">
        <v>29</v>
      </c>
      <c r="B79" s="11" t="s">
        <v>63</v>
      </c>
      <c r="C79" s="11" t="s">
        <v>71</v>
      </c>
      <c r="D79" s="11" t="s">
        <v>40</v>
      </c>
      <c r="E79" s="12">
        <v>35</v>
      </c>
      <c r="F79" s="35">
        <v>46153</v>
      </c>
      <c r="G79" s="50">
        <v>0.84236111111111112</v>
      </c>
      <c r="H79" s="14"/>
      <c r="I79" s="51"/>
      <c r="J79" s="35">
        <v>46154</v>
      </c>
      <c r="K79" s="15">
        <v>0.90972222222222221</v>
      </c>
      <c r="L79" s="44">
        <f t="shared" si="2"/>
        <v>25.616666666523088</v>
      </c>
      <c r="M79" s="16" t="s">
        <v>122</v>
      </c>
      <c r="N79" s="11" t="s">
        <v>42</v>
      </c>
      <c r="P79" s="28" t="s">
        <v>33</v>
      </c>
      <c r="Q79" s="28" t="s">
        <v>33</v>
      </c>
      <c r="R79" s="28" t="s">
        <v>33</v>
      </c>
      <c r="T79" s="28" t="s">
        <v>66</v>
      </c>
      <c r="U79" s="28">
        <v>7.5</v>
      </c>
      <c r="V79" s="27" t="s">
        <v>73</v>
      </c>
      <c r="W79" s="28">
        <v>34</v>
      </c>
      <c r="Y79" s="161"/>
    </row>
    <row r="80" spans="1:25" ht="60" customHeight="1">
      <c r="A80" s="11" t="s">
        <v>29</v>
      </c>
      <c r="B80" s="11" t="s">
        <v>108</v>
      </c>
      <c r="C80" s="11" t="s">
        <v>109</v>
      </c>
      <c r="D80" s="11" t="s">
        <v>68</v>
      </c>
      <c r="E80" s="12">
        <v>90</v>
      </c>
      <c r="F80" s="35">
        <v>46153</v>
      </c>
      <c r="G80" s="52">
        <v>0.81458333333333333</v>
      </c>
      <c r="H80" s="45"/>
      <c r="I80" s="15"/>
      <c r="J80" s="35">
        <v>46153</v>
      </c>
      <c r="K80" s="15">
        <v>0.99930555555555556</v>
      </c>
      <c r="L80" s="44">
        <f t="shared" si="2"/>
        <v>4.4333333332906477</v>
      </c>
      <c r="M80" s="16" t="s">
        <v>110</v>
      </c>
      <c r="N80" s="11" t="s">
        <v>42</v>
      </c>
      <c r="P80" s="60" t="s">
        <v>33</v>
      </c>
      <c r="Q80" s="28" t="s">
        <v>33</v>
      </c>
      <c r="R80" s="28" t="s">
        <v>33</v>
      </c>
      <c r="T80" s="28" t="s">
        <v>36</v>
      </c>
      <c r="U80" s="28" t="s">
        <v>36</v>
      </c>
      <c r="V80" s="28" t="s">
        <v>36</v>
      </c>
      <c r="W80" s="28" t="s">
        <v>36</v>
      </c>
      <c r="Y80" s="161"/>
    </row>
    <row r="81" spans="1:25" ht="60" customHeight="1">
      <c r="A81" s="11" t="s">
        <v>29</v>
      </c>
      <c r="B81" s="11" t="s">
        <v>38</v>
      </c>
      <c r="C81" s="11" t="s">
        <v>39</v>
      </c>
      <c r="D81" s="11" t="s">
        <v>32</v>
      </c>
      <c r="E81" s="12">
        <v>10.497999999999999</v>
      </c>
      <c r="F81" s="35">
        <v>46153</v>
      </c>
      <c r="G81" s="52">
        <v>2.0833333333333333E-3</v>
      </c>
      <c r="H81" s="42"/>
      <c r="I81" s="53"/>
      <c r="J81" s="35">
        <v>46157</v>
      </c>
      <c r="K81" s="15">
        <v>0.70972222222222225</v>
      </c>
      <c r="L81" s="44">
        <f t="shared" si="2"/>
        <v>112.98333333333721</v>
      </c>
      <c r="M81" s="65" t="s">
        <v>144</v>
      </c>
      <c r="N81" s="11" t="s">
        <v>42</v>
      </c>
      <c r="P81" s="28" t="s">
        <v>33</v>
      </c>
      <c r="Q81" s="28" t="s">
        <v>33</v>
      </c>
      <c r="R81" s="28" t="s">
        <v>33</v>
      </c>
      <c r="T81" s="28" t="s">
        <v>36</v>
      </c>
      <c r="U81" s="28" t="s">
        <v>36</v>
      </c>
      <c r="V81" s="28" t="s">
        <v>36</v>
      </c>
      <c r="W81" s="28" t="s">
        <v>36</v>
      </c>
      <c r="Y81" s="161"/>
    </row>
    <row r="82" spans="1:25" ht="60" customHeight="1">
      <c r="A82" s="11" t="s">
        <v>29</v>
      </c>
      <c r="B82" s="11" t="s">
        <v>38</v>
      </c>
      <c r="C82" s="11" t="s">
        <v>39</v>
      </c>
      <c r="D82" s="11" t="s">
        <v>40</v>
      </c>
      <c r="E82" s="12">
        <v>10.497999999999999</v>
      </c>
      <c r="F82" s="35">
        <v>46153</v>
      </c>
      <c r="G82" s="52">
        <v>2.0833333333333333E-3</v>
      </c>
      <c r="H82" s="37"/>
      <c r="I82" s="51"/>
      <c r="J82" s="35">
        <v>46157</v>
      </c>
      <c r="K82" s="15">
        <v>0.70972222222222225</v>
      </c>
      <c r="L82" s="44">
        <f t="shared" si="2"/>
        <v>112.98333333333721</v>
      </c>
      <c r="M82" s="65" t="s">
        <v>144</v>
      </c>
      <c r="N82" s="11" t="s">
        <v>42</v>
      </c>
      <c r="P82" s="28" t="s">
        <v>33</v>
      </c>
      <c r="Q82" s="28" t="s">
        <v>33</v>
      </c>
      <c r="R82" s="28" t="s">
        <v>33</v>
      </c>
      <c r="T82" s="28" t="s">
        <v>36</v>
      </c>
      <c r="U82" s="28" t="s">
        <v>36</v>
      </c>
      <c r="V82" s="28" t="s">
        <v>36</v>
      </c>
      <c r="W82" s="28" t="s">
        <v>36</v>
      </c>
      <c r="Y82" s="162"/>
    </row>
    <row r="83" spans="1:25" ht="60" customHeight="1">
      <c r="A83" s="11" t="s">
        <v>29</v>
      </c>
      <c r="B83" s="11" t="s">
        <v>145</v>
      </c>
      <c r="C83" s="11" t="s">
        <v>146</v>
      </c>
      <c r="D83" s="11" t="s">
        <v>56</v>
      </c>
      <c r="E83" s="44">
        <v>150</v>
      </c>
      <c r="F83" s="35">
        <v>46152</v>
      </c>
      <c r="G83" s="50">
        <v>0.12777777777777777</v>
      </c>
      <c r="H83" s="21"/>
      <c r="I83" s="54"/>
      <c r="J83" s="35">
        <v>46157</v>
      </c>
      <c r="K83" s="15">
        <v>0.13263888888888889</v>
      </c>
      <c r="L83" s="44">
        <f t="shared" si="2"/>
        <v>120.11666666669771</v>
      </c>
      <c r="M83" s="15" t="s">
        <v>147</v>
      </c>
      <c r="N83" s="11" t="s">
        <v>96</v>
      </c>
      <c r="O83" s="9"/>
      <c r="P83" s="28">
        <v>16.899999999999999</v>
      </c>
      <c r="Q83" s="28">
        <v>11.59</v>
      </c>
      <c r="R83" s="28">
        <f>Q83-P83</f>
        <v>-5.3099999999999987</v>
      </c>
      <c r="T83" s="28" t="s">
        <v>116</v>
      </c>
      <c r="U83" s="28">
        <v>300</v>
      </c>
      <c r="V83" s="28" t="s">
        <v>36</v>
      </c>
      <c r="W83" s="28" t="s">
        <v>36</v>
      </c>
      <c r="Y83" s="74" t="s">
        <v>136</v>
      </c>
    </row>
    <row r="84" spans="1:25" ht="60" customHeight="1">
      <c r="A84" s="11" t="s">
        <v>29</v>
      </c>
      <c r="B84" s="33" t="s">
        <v>63</v>
      </c>
      <c r="C84" s="33" t="s">
        <v>64</v>
      </c>
      <c r="D84" s="33" t="s">
        <v>32</v>
      </c>
      <c r="E84" s="34">
        <v>37.5</v>
      </c>
      <c r="F84" s="35">
        <v>46147</v>
      </c>
      <c r="G84" s="36">
        <v>0.33402777777777776</v>
      </c>
      <c r="H84" s="55"/>
      <c r="I84" s="15"/>
      <c r="J84" s="35">
        <v>46157</v>
      </c>
      <c r="K84" s="15">
        <v>0</v>
      </c>
      <c r="L84" s="44">
        <f t="shared" si="2"/>
        <v>231.98333333339542</v>
      </c>
      <c r="M84" s="65" t="s">
        <v>69</v>
      </c>
      <c r="N84" s="11" t="s">
        <v>42</v>
      </c>
      <c r="P84" s="28" t="s">
        <v>33</v>
      </c>
      <c r="Q84" s="28" t="s">
        <v>33</v>
      </c>
      <c r="R84" s="28" t="s">
        <v>33</v>
      </c>
      <c r="T84" s="28" t="s">
        <v>66</v>
      </c>
      <c r="U84" s="28">
        <v>7.5</v>
      </c>
      <c r="V84" s="28" t="s">
        <v>67</v>
      </c>
      <c r="W84" s="28">
        <v>23</v>
      </c>
      <c r="Y84" s="74" t="s">
        <v>43</v>
      </c>
    </row>
    <row r="85" spans="1:25" ht="60" customHeight="1">
      <c r="A85" s="11" t="s">
        <v>29</v>
      </c>
      <c r="B85" s="11" t="s">
        <v>148</v>
      </c>
      <c r="C85" s="11" t="s">
        <v>149</v>
      </c>
      <c r="D85" s="11" t="s">
        <v>40</v>
      </c>
      <c r="E85" s="12">
        <v>127.5</v>
      </c>
      <c r="F85" s="35">
        <v>46146</v>
      </c>
      <c r="G85" s="36">
        <v>6.9444444444444447E-4</v>
      </c>
      <c r="H85" s="56"/>
      <c r="I85" s="42"/>
      <c r="J85" s="35">
        <v>46157</v>
      </c>
      <c r="K85" s="15">
        <v>1</v>
      </c>
      <c r="L85" s="44">
        <f t="shared" si="2"/>
        <v>287.98333333327901</v>
      </c>
      <c r="M85" s="67" t="s">
        <v>150</v>
      </c>
      <c r="N85" s="11" t="s">
        <v>42</v>
      </c>
      <c r="O85" s="18"/>
      <c r="P85" s="28">
        <v>6.8</v>
      </c>
      <c r="Q85" s="28">
        <v>0.54</v>
      </c>
      <c r="R85" s="28">
        <f>Q85-P85</f>
        <v>-6.26</v>
      </c>
      <c r="T85" s="28" t="s">
        <v>36</v>
      </c>
      <c r="U85" s="28" t="s">
        <v>36</v>
      </c>
      <c r="V85" s="28" t="s">
        <v>36</v>
      </c>
      <c r="W85" s="28" t="s">
        <v>36</v>
      </c>
      <c r="Y85" s="74" t="s">
        <v>136</v>
      </c>
    </row>
    <row r="86" spans="1:25" ht="60" customHeight="1">
      <c r="A86" s="11" t="s">
        <v>29</v>
      </c>
      <c r="B86" s="11" t="s">
        <v>63</v>
      </c>
      <c r="C86" s="11" t="s">
        <v>71</v>
      </c>
      <c r="D86" s="11" t="s">
        <v>56</v>
      </c>
      <c r="E86" s="12">
        <v>35</v>
      </c>
      <c r="F86" s="40">
        <v>46146</v>
      </c>
      <c r="G86" s="13">
        <v>6.9444444444444447E-4</v>
      </c>
      <c r="H86" s="14"/>
      <c r="I86" s="15"/>
      <c r="J86" s="40">
        <v>46159</v>
      </c>
      <c r="K86" s="15">
        <v>0.99444444444444446</v>
      </c>
      <c r="L86" s="44">
        <f t="shared" si="2"/>
        <v>335.8499999998603</v>
      </c>
      <c r="M86" s="16" t="s">
        <v>151</v>
      </c>
      <c r="N86" s="58" t="s">
        <v>42</v>
      </c>
      <c r="P86" s="28">
        <v>6.8</v>
      </c>
      <c r="Q86" s="28">
        <v>29.43</v>
      </c>
      <c r="R86" s="61">
        <f>Q86-P86</f>
        <v>22.63</v>
      </c>
      <c r="T86" s="28" t="s">
        <v>66</v>
      </c>
      <c r="U86" s="28">
        <v>7.5</v>
      </c>
      <c r="V86" s="27" t="s">
        <v>73</v>
      </c>
      <c r="W86" s="28">
        <v>34</v>
      </c>
      <c r="Y86" s="149" t="s">
        <v>43</v>
      </c>
    </row>
    <row r="87" spans="1:25" ht="60" customHeight="1">
      <c r="A87" s="11" t="s">
        <v>29</v>
      </c>
      <c r="B87" s="11" t="s">
        <v>44</v>
      </c>
      <c r="C87" s="11" t="s">
        <v>152</v>
      </c>
      <c r="D87" s="11" t="s">
        <v>32</v>
      </c>
      <c r="E87" s="12">
        <v>0.6</v>
      </c>
      <c r="F87" s="40">
        <v>46134</v>
      </c>
      <c r="G87" s="13">
        <v>0.69513888888888886</v>
      </c>
      <c r="H87" s="148" t="s">
        <v>46</v>
      </c>
      <c r="I87" s="158"/>
      <c r="J87" s="40"/>
      <c r="K87" s="15"/>
      <c r="L87" s="44" t="s">
        <v>33</v>
      </c>
      <c r="M87" s="22" t="s">
        <v>41</v>
      </c>
      <c r="N87" s="59" t="s">
        <v>42</v>
      </c>
      <c r="O87" s="18"/>
      <c r="P87" s="28" t="s">
        <v>33</v>
      </c>
      <c r="Q87" s="28" t="s">
        <v>33</v>
      </c>
      <c r="R87" s="28" t="s">
        <v>33</v>
      </c>
      <c r="T87" s="28" t="s">
        <v>36</v>
      </c>
      <c r="U87" s="28" t="s">
        <v>36</v>
      </c>
      <c r="V87" s="28" t="s">
        <v>36</v>
      </c>
      <c r="W87" s="28" t="s">
        <v>36</v>
      </c>
      <c r="Y87" s="155"/>
    </row>
    <row r="88" spans="1:25" ht="60" customHeight="1">
      <c r="A88" s="11" t="s">
        <v>29</v>
      </c>
      <c r="B88" s="11" t="s">
        <v>44</v>
      </c>
      <c r="C88" s="11" t="s">
        <v>152</v>
      </c>
      <c r="D88" s="11" t="s">
        <v>40</v>
      </c>
      <c r="E88" s="12">
        <v>0.6</v>
      </c>
      <c r="F88" s="40">
        <v>46134</v>
      </c>
      <c r="G88" s="13">
        <v>0.69513888888888886</v>
      </c>
      <c r="H88" s="148" t="s">
        <v>46</v>
      </c>
      <c r="I88" s="158"/>
      <c r="J88" s="40"/>
      <c r="K88" s="15"/>
      <c r="L88" s="44" t="s">
        <v>33</v>
      </c>
      <c r="M88" s="22" t="s">
        <v>41</v>
      </c>
      <c r="N88" s="59" t="s">
        <v>42</v>
      </c>
      <c r="O88" s="18"/>
      <c r="P88" s="28" t="s">
        <v>33</v>
      </c>
      <c r="Q88" s="28" t="s">
        <v>33</v>
      </c>
      <c r="R88" s="28" t="s">
        <v>33</v>
      </c>
      <c r="T88" s="28" t="s">
        <v>36</v>
      </c>
      <c r="U88" s="28" t="s">
        <v>36</v>
      </c>
      <c r="V88" s="28" t="s">
        <v>36</v>
      </c>
      <c r="W88" s="28" t="s">
        <v>36</v>
      </c>
      <c r="Y88" s="155"/>
    </row>
    <row r="89" spans="1:25" ht="60" customHeight="1">
      <c r="A89" s="11" t="s">
        <v>29</v>
      </c>
      <c r="B89" s="11" t="s">
        <v>44</v>
      </c>
      <c r="C89" s="11" t="s">
        <v>152</v>
      </c>
      <c r="D89" s="11" t="s">
        <v>68</v>
      </c>
      <c r="E89" s="12">
        <v>0.6</v>
      </c>
      <c r="F89" s="40">
        <v>46134</v>
      </c>
      <c r="G89" s="13">
        <v>0.69513888888888886</v>
      </c>
      <c r="H89" s="148" t="s">
        <v>46</v>
      </c>
      <c r="I89" s="158"/>
      <c r="J89" s="40"/>
      <c r="K89" s="15"/>
      <c r="L89" s="44" t="s">
        <v>33</v>
      </c>
      <c r="M89" s="22" t="s">
        <v>41</v>
      </c>
      <c r="N89" s="59" t="s">
        <v>42</v>
      </c>
      <c r="O89" s="18"/>
      <c r="P89" s="28" t="s">
        <v>33</v>
      </c>
      <c r="Q89" s="28" t="s">
        <v>33</v>
      </c>
      <c r="R89" s="28" t="s">
        <v>33</v>
      </c>
      <c r="T89" s="28" t="s">
        <v>36</v>
      </c>
      <c r="U89" s="28" t="s">
        <v>36</v>
      </c>
      <c r="V89" s="28" t="s">
        <v>36</v>
      </c>
      <c r="W89" s="28" t="s">
        <v>36</v>
      </c>
      <c r="Y89" s="155"/>
    </row>
    <row r="90" spans="1:25" ht="60" customHeight="1">
      <c r="A90" s="11" t="s">
        <v>29</v>
      </c>
      <c r="B90" s="11" t="s">
        <v>44</v>
      </c>
      <c r="C90" s="11" t="s">
        <v>152</v>
      </c>
      <c r="D90" s="11" t="s">
        <v>56</v>
      </c>
      <c r="E90" s="12">
        <v>0.6</v>
      </c>
      <c r="F90" s="40">
        <v>46134</v>
      </c>
      <c r="G90" s="13">
        <v>0.69513888888888886</v>
      </c>
      <c r="H90" s="148" t="s">
        <v>46</v>
      </c>
      <c r="I90" s="158"/>
      <c r="J90" s="40"/>
      <c r="K90" s="15"/>
      <c r="L90" s="44" t="s">
        <v>33</v>
      </c>
      <c r="M90" s="22" t="s">
        <v>41</v>
      </c>
      <c r="N90" s="59" t="s">
        <v>42</v>
      </c>
      <c r="P90" s="28" t="s">
        <v>33</v>
      </c>
      <c r="Q90" s="28" t="s">
        <v>33</v>
      </c>
      <c r="R90" s="28" t="s">
        <v>33</v>
      </c>
      <c r="T90" s="28" t="s">
        <v>36</v>
      </c>
      <c r="U90" s="28" t="s">
        <v>36</v>
      </c>
      <c r="V90" s="28" t="s">
        <v>36</v>
      </c>
      <c r="W90" s="28" t="s">
        <v>36</v>
      </c>
      <c r="Y90" s="156"/>
    </row>
    <row r="91" spans="1:25" ht="60" customHeight="1">
      <c r="A91" s="11" t="s">
        <v>29</v>
      </c>
      <c r="B91" s="11" t="s">
        <v>153</v>
      </c>
      <c r="C91" s="11" t="s">
        <v>154</v>
      </c>
      <c r="D91" s="11" t="s">
        <v>32</v>
      </c>
      <c r="E91" s="12">
        <v>6</v>
      </c>
      <c r="F91" s="40">
        <v>46103</v>
      </c>
      <c r="G91" s="13">
        <v>0.21319444444444444</v>
      </c>
      <c r="H91" s="21">
        <v>46174</v>
      </c>
      <c r="I91" s="13">
        <v>0</v>
      </c>
      <c r="J91" s="40"/>
      <c r="K91" s="15"/>
      <c r="L91" s="44" t="s">
        <v>33</v>
      </c>
      <c r="M91" s="22" t="s">
        <v>155</v>
      </c>
      <c r="N91" s="59" t="s">
        <v>42</v>
      </c>
      <c r="O91" s="18"/>
      <c r="P91" s="28">
        <v>6.8</v>
      </c>
      <c r="Q91" s="28">
        <v>0.02</v>
      </c>
      <c r="R91" s="28">
        <f>Q91-P91</f>
        <v>-6.78</v>
      </c>
      <c r="T91" s="28" t="s">
        <v>36</v>
      </c>
      <c r="U91" s="28" t="s">
        <v>36</v>
      </c>
      <c r="V91" s="28" t="s">
        <v>36</v>
      </c>
      <c r="W91" s="28" t="s">
        <v>36</v>
      </c>
      <c r="Y91" s="75" t="s">
        <v>156</v>
      </c>
    </row>
    <row r="92" spans="1:25" ht="60" customHeight="1">
      <c r="A92" s="11" t="s">
        <v>29</v>
      </c>
      <c r="B92" s="11" t="s">
        <v>157</v>
      </c>
      <c r="C92" s="11" t="s">
        <v>158</v>
      </c>
      <c r="D92" s="11" t="s">
        <v>76</v>
      </c>
      <c r="E92" s="12">
        <v>5.5</v>
      </c>
      <c r="F92" s="40">
        <v>46099</v>
      </c>
      <c r="G92" s="13">
        <v>0.84375</v>
      </c>
      <c r="H92" s="21">
        <v>46203</v>
      </c>
      <c r="I92" s="13">
        <v>6.9444444444444447E-4</v>
      </c>
      <c r="J92" s="40"/>
      <c r="K92" s="15"/>
      <c r="L92" s="44" t="s">
        <v>33</v>
      </c>
      <c r="M92" s="15" t="s">
        <v>159</v>
      </c>
      <c r="N92" s="3" t="s">
        <v>60</v>
      </c>
      <c r="O92" s="18"/>
      <c r="P92" s="28">
        <v>14</v>
      </c>
      <c r="Q92" s="28">
        <v>98.71</v>
      </c>
      <c r="R92" s="61">
        <f>Q92-P92</f>
        <v>84.71</v>
      </c>
      <c r="T92" s="28" t="s">
        <v>36</v>
      </c>
      <c r="U92" s="28" t="s">
        <v>36</v>
      </c>
      <c r="V92" s="28" t="s">
        <v>36</v>
      </c>
      <c r="W92" s="28" t="s">
        <v>36</v>
      </c>
      <c r="Y92" s="149" t="s">
        <v>43</v>
      </c>
    </row>
    <row r="93" spans="1:25" ht="60" customHeight="1">
      <c r="A93" s="11" t="s">
        <v>29</v>
      </c>
      <c r="B93" s="11" t="s">
        <v>44</v>
      </c>
      <c r="C93" s="11" t="s">
        <v>160</v>
      </c>
      <c r="D93" s="11" t="s">
        <v>32</v>
      </c>
      <c r="E93" s="12">
        <v>10.199999999999999</v>
      </c>
      <c r="F93" s="40">
        <v>46094</v>
      </c>
      <c r="G93" s="13">
        <v>0.57708333333333328</v>
      </c>
      <c r="H93" s="21">
        <v>46174</v>
      </c>
      <c r="I93" s="13">
        <v>0</v>
      </c>
      <c r="J93" s="40"/>
      <c r="K93" s="15"/>
      <c r="L93" s="44" t="s">
        <v>33</v>
      </c>
      <c r="M93" s="23" t="s">
        <v>41</v>
      </c>
      <c r="N93" s="11" t="s">
        <v>42</v>
      </c>
      <c r="O93" s="18"/>
      <c r="P93" s="28">
        <v>6.8</v>
      </c>
      <c r="Q93" s="28">
        <v>115.79</v>
      </c>
      <c r="R93" s="70">
        <f>Q93-P93</f>
        <v>108.99000000000001</v>
      </c>
      <c r="T93" s="28" t="s">
        <v>36</v>
      </c>
      <c r="U93" s="28" t="s">
        <v>36</v>
      </c>
      <c r="V93" s="28" t="s">
        <v>36</v>
      </c>
      <c r="W93" s="28" t="s">
        <v>36</v>
      </c>
      <c r="Y93" s="155"/>
    </row>
    <row r="94" spans="1:25" ht="60" customHeight="1">
      <c r="A94" s="11" t="s">
        <v>29</v>
      </c>
      <c r="B94" s="11" t="s">
        <v>44</v>
      </c>
      <c r="C94" s="11" t="s">
        <v>160</v>
      </c>
      <c r="D94" s="11" t="s">
        <v>40</v>
      </c>
      <c r="E94" s="12">
        <v>10.199999999999999</v>
      </c>
      <c r="F94" s="40">
        <v>46094</v>
      </c>
      <c r="G94" s="13">
        <v>0.57708333333333328</v>
      </c>
      <c r="H94" s="21">
        <v>46174</v>
      </c>
      <c r="I94" s="13">
        <v>0</v>
      </c>
      <c r="J94" s="40"/>
      <c r="K94" s="15"/>
      <c r="L94" s="44" t="s">
        <v>33</v>
      </c>
      <c r="M94" s="23" t="s">
        <v>41</v>
      </c>
      <c r="N94" s="11" t="s">
        <v>42</v>
      </c>
      <c r="O94" s="18"/>
      <c r="P94" s="28">
        <v>6.8</v>
      </c>
      <c r="Q94" s="28">
        <v>118.27</v>
      </c>
      <c r="R94" s="70">
        <f>Q94-P94</f>
        <v>111.47</v>
      </c>
      <c r="T94" s="28" t="s">
        <v>36</v>
      </c>
      <c r="U94" s="28" t="s">
        <v>36</v>
      </c>
      <c r="V94" s="28" t="s">
        <v>36</v>
      </c>
      <c r="W94" s="28" t="s">
        <v>36</v>
      </c>
      <c r="Y94" s="155"/>
    </row>
    <row r="95" spans="1:25" ht="60" customHeight="1">
      <c r="A95" s="11" t="s">
        <v>29</v>
      </c>
      <c r="B95" s="11" t="s">
        <v>44</v>
      </c>
      <c r="C95" s="11" t="s">
        <v>161</v>
      </c>
      <c r="D95" s="11" t="s">
        <v>32</v>
      </c>
      <c r="E95" s="12">
        <v>3.89</v>
      </c>
      <c r="F95" s="40">
        <v>46094</v>
      </c>
      <c r="G95" s="13">
        <v>0.56805555555555554</v>
      </c>
      <c r="H95" s="21">
        <v>46174</v>
      </c>
      <c r="I95" s="13">
        <v>0</v>
      </c>
      <c r="J95" s="40"/>
      <c r="K95" s="15"/>
      <c r="L95" s="44" t="s">
        <v>33</v>
      </c>
      <c r="M95" s="23" t="s">
        <v>41</v>
      </c>
      <c r="N95" s="11" t="s">
        <v>42</v>
      </c>
      <c r="O95" s="18"/>
      <c r="P95" s="28" t="s">
        <v>33</v>
      </c>
      <c r="Q95" s="28" t="s">
        <v>33</v>
      </c>
      <c r="R95" s="28" t="s">
        <v>33</v>
      </c>
      <c r="T95" s="28" t="s">
        <v>36</v>
      </c>
      <c r="U95" s="28" t="s">
        <v>36</v>
      </c>
      <c r="V95" s="28" t="s">
        <v>36</v>
      </c>
      <c r="W95" s="28" t="s">
        <v>36</v>
      </c>
      <c r="Y95" s="155"/>
    </row>
    <row r="96" spans="1:25" ht="60" customHeight="1">
      <c r="A96" s="11" t="s">
        <v>29</v>
      </c>
      <c r="B96" s="11" t="s">
        <v>44</v>
      </c>
      <c r="C96" s="11" t="s">
        <v>162</v>
      </c>
      <c r="D96" s="11" t="s">
        <v>32</v>
      </c>
      <c r="E96" s="12">
        <v>0.4</v>
      </c>
      <c r="F96" s="40">
        <v>46094</v>
      </c>
      <c r="G96" s="13">
        <v>0.56805555555555554</v>
      </c>
      <c r="H96" s="21">
        <v>46174</v>
      </c>
      <c r="I96" s="13">
        <v>0</v>
      </c>
      <c r="J96" s="40"/>
      <c r="K96" s="15"/>
      <c r="L96" s="44" t="s">
        <v>33</v>
      </c>
      <c r="M96" s="23" t="s">
        <v>41</v>
      </c>
      <c r="N96" s="11" t="s">
        <v>42</v>
      </c>
      <c r="O96" s="18"/>
      <c r="P96" s="28" t="s">
        <v>33</v>
      </c>
      <c r="Q96" s="28" t="s">
        <v>33</v>
      </c>
      <c r="R96" s="28" t="s">
        <v>33</v>
      </c>
      <c r="T96" s="28" t="s">
        <v>36</v>
      </c>
      <c r="U96" s="28" t="s">
        <v>36</v>
      </c>
      <c r="V96" s="28" t="s">
        <v>36</v>
      </c>
      <c r="W96" s="28" t="s">
        <v>36</v>
      </c>
      <c r="Y96" s="155"/>
    </row>
    <row r="97" spans="1:25" ht="60" customHeight="1">
      <c r="A97" s="11" t="s">
        <v>29</v>
      </c>
      <c r="B97" s="11" t="s">
        <v>44</v>
      </c>
      <c r="C97" s="11" t="s">
        <v>162</v>
      </c>
      <c r="D97" s="11" t="s">
        <v>40</v>
      </c>
      <c r="E97" s="12">
        <v>0.4</v>
      </c>
      <c r="F97" s="40">
        <v>46094</v>
      </c>
      <c r="G97" s="13">
        <v>0.56805555555555554</v>
      </c>
      <c r="H97" s="21">
        <v>46174</v>
      </c>
      <c r="I97" s="13">
        <v>0</v>
      </c>
      <c r="J97" s="40"/>
      <c r="K97" s="15"/>
      <c r="L97" s="44" t="s">
        <v>33</v>
      </c>
      <c r="M97" s="23" t="s">
        <v>41</v>
      </c>
      <c r="N97" s="11" t="s">
        <v>42</v>
      </c>
      <c r="O97" s="18"/>
      <c r="P97" s="28" t="s">
        <v>33</v>
      </c>
      <c r="Q97" s="28" t="s">
        <v>33</v>
      </c>
      <c r="R97" s="28" t="s">
        <v>33</v>
      </c>
      <c r="T97" s="28" t="s">
        <v>36</v>
      </c>
      <c r="U97" s="28" t="s">
        <v>36</v>
      </c>
      <c r="V97" s="28" t="s">
        <v>36</v>
      </c>
      <c r="W97" s="28" t="s">
        <v>36</v>
      </c>
      <c r="Y97" s="155"/>
    </row>
    <row r="98" spans="1:25" ht="60" customHeight="1">
      <c r="A98" s="11" t="s">
        <v>29</v>
      </c>
      <c r="B98" s="11" t="s">
        <v>44</v>
      </c>
      <c r="C98" s="11" t="s">
        <v>162</v>
      </c>
      <c r="D98" s="11" t="s">
        <v>68</v>
      </c>
      <c r="E98" s="12">
        <v>0.4</v>
      </c>
      <c r="F98" s="40">
        <v>46094</v>
      </c>
      <c r="G98" s="13">
        <v>0.56805555555555554</v>
      </c>
      <c r="H98" s="21">
        <v>46174</v>
      </c>
      <c r="I98" s="13">
        <v>0</v>
      </c>
      <c r="J98" s="40"/>
      <c r="K98" s="15"/>
      <c r="L98" s="44" t="s">
        <v>33</v>
      </c>
      <c r="M98" s="23" t="s">
        <v>41</v>
      </c>
      <c r="N98" s="11" t="s">
        <v>42</v>
      </c>
      <c r="O98" s="18"/>
      <c r="P98" s="28" t="s">
        <v>33</v>
      </c>
      <c r="Q98" s="28" t="s">
        <v>33</v>
      </c>
      <c r="R98" s="28" t="s">
        <v>33</v>
      </c>
      <c r="T98" s="28" t="s">
        <v>36</v>
      </c>
      <c r="U98" s="28" t="s">
        <v>36</v>
      </c>
      <c r="V98" s="28" t="s">
        <v>36</v>
      </c>
      <c r="W98" s="28" t="s">
        <v>36</v>
      </c>
      <c r="Y98" s="156"/>
    </row>
    <row r="99" spans="1:25" ht="60" customHeight="1">
      <c r="A99" s="11" t="s">
        <v>29</v>
      </c>
      <c r="B99" s="11" t="s">
        <v>163</v>
      </c>
      <c r="C99" s="11" t="s">
        <v>164</v>
      </c>
      <c r="D99" s="11" t="s">
        <v>40</v>
      </c>
      <c r="E99" s="12">
        <v>350</v>
      </c>
      <c r="F99" s="40">
        <v>45497</v>
      </c>
      <c r="G99" s="13">
        <v>0.89166666666666672</v>
      </c>
      <c r="H99" s="13"/>
      <c r="I99" s="13"/>
      <c r="J99" s="40"/>
      <c r="K99" s="15"/>
      <c r="L99" s="44" t="s">
        <v>33</v>
      </c>
      <c r="M99" s="15" t="s">
        <v>165</v>
      </c>
      <c r="N99" s="11" t="s">
        <v>166</v>
      </c>
      <c r="O99" s="18"/>
      <c r="P99" s="28">
        <v>27.8</v>
      </c>
      <c r="Q99" s="64">
        <v>138</v>
      </c>
      <c r="R99" s="70">
        <f>Q99-P99</f>
        <v>110.2</v>
      </c>
      <c r="T99" s="28" t="s">
        <v>36</v>
      </c>
      <c r="U99" s="28" t="s">
        <v>36</v>
      </c>
      <c r="V99" s="28" t="s">
        <v>36</v>
      </c>
      <c r="W99" s="28" t="s">
        <v>36</v>
      </c>
      <c r="Y99" s="149" t="s">
        <v>167</v>
      </c>
    </row>
    <row r="100" spans="1:25" ht="60" customHeight="1">
      <c r="A100" s="11" t="s">
        <v>29</v>
      </c>
      <c r="B100" s="11" t="s">
        <v>163</v>
      </c>
      <c r="C100" s="11" t="s">
        <v>164</v>
      </c>
      <c r="D100" s="11" t="s">
        <v>32</v>
      </c>
      <c r="E100" s="12">
        <v>300</v>
      </c>
      <c r="F100" s="40">
        <v>43588</v>
      </c>
      <c r="G100" s="13">
        <v>0.76458333333333328</v>
      </c>
      <c r="H100" s="13"/>
      <c r="I100" s="13"/>
      <c r="J100" s="40"/>
      <c r="K100" s="15"/>
      <c r="L100" s="44" t="s">
        <v>33</v>
      </c>
      <c r="M100" s="15" t="s">
        <v>168</v>
      </c>
      <c r="N100" s="11" t="s">
        <v>166</v>
      </c>
      <c r="O100" s="9"/>
      <c r="P100" s="60" t="s">
        <v>33</v>
      </c>
      <c r="Q100" s="28" t="s">
        <v>33</v>
      </c>
      <c r="R100" s="28" t="s">
        <v>33</v>
      </c>
      <c r="T100" s="28" t="s">
        <v>36</v>
      </c>
      <c r="U100" s="28" t="s">
        <v>36</v>
      </c>
      <c r="V100" s="28" t="s">
        <v>36</v>
      </c>
      <c r="W100" s="28" t="s">
        <v>36</v>
      </c>
      <c r="Y100" s="156"/>
    </row>
    <row r="101" spans="1:25" ht="60" customHeight="1"/>
  </sheetData>
  <autoFilter ref="A5:Y100" xr:uid="{E3D8D8EE-90E9-4AB4-8B0C-84EFE3C8F37C}"/>
  <mergeCells count="47">
    <mergeCell ref="Y99:Y100"/>
    <mergeCell ref="Y33:Y46"/>
    <mergeCell ref="Y48:Y49"/>
    <mergeCell ref="Y51:Y56"/>
    <mergeCell ref="Y57:Y58"/>
    <mergeCell ref="Y59:Y61"/>
    <mergeCell ref="Y65:Y69"/>
    <mergeCell ref="Y71:Y82"/>
    <mergeCell ref="Y30:Y31"/>
    <mergeCell ref="Y92:Y98"/>
    <mergeCell ref="H20:I20"/>
    <mergeCell ref="H26:I26"/>
    <mergeCell ref="Y28:Y29"/>
    <mergeCell ref="H87:I87"/>
    <mergeCell ref="H88:I88"/>
    <mergeCell ref="H89:I89"/>
    <mergeCell ref="H90:I90"/>
    <mergeCell ref="Y86:Y90"/>
    <mergeCell ref="H8:I8"/>
    <mergeCell ref="H25:I25"/>
    <mergeCell ref="T4:T5"/>
    <mergeCell ref="U4:U5"/>
    <mergeCell ref="Y11:Y12"/>
    <mergeCell ref="Y14:Y27"/>
    <mergeCell ref="Y3:Y5"/>
    <mergeCell ref="Y8:Y9"/>
    <mergeCell ref="P4:P5"/>
    <mergeCell ref="Q4:Q5"/>
    <mergeCell ref="R4:R5"/>
    <mergeCell ref="V4:V5"/>
    <mergeCell ref="W4:W5"/>
    <mergeCell ref="P3:R3"/>
    <mergeCell ref="T3:U3"/>
    <mergeCell ref="V3:W3"/>
    <mergeCell ref="F3:G3"/>
    <mergeCell ref="F4:G4"/>
    <mergeCell ref="A2:N2"/>
    <mergeCell ref="A3:A5"/>
    <mergeCell ref="B3:B5"/>
    <mergeCell ref="C3:C5"/>
    <mergeCell ref="D3:D5"/>
    <mergeCell ref="E3:E5"/>
    <mergeCell ref="J4:K4"/>
    <mergeCell ref="H3:I4"/>
    <mergeCell ref="J3:K3"/>
    <mergeCell ref="N3:N5"/>
    <mergeCell ref="L3:L5"/>
  </mergeCells>
  <conditionalFormatting sqref="E7">
    <cfRule type="cellIs" dxfId="19" priority="1" operator="greaterThanOrEqual">
      <formula>50</formula>
    </cfRule>
  </conditionalFormatting>
  <conditionalFormatting sqref="E52:E54">
    <cfRule type="cellIs" dxfId="18" priority="2" operator="greaterThanOrEqual">
      <formula>50</formula>
    </cfRule>
  </conditionalFormatting>
  <conditionalFormatting sqref="E85">
    <cfRule type="cellIs" dxfId="17" priority="3" operator="greaterThanOrEqual">
      <formula>50</formula>
    </cfRule>
  </conditionalFormatting>
  <pageMargins left="0.7" right="0.7" top="0.75" bottom="0.75" header="0.3" footer="0.3"/>
  <pageSetup paperSize="9" scale="16"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1615-8584-46AE-BDFB-CDFA86FFA708}">
  <dimension ref="A1:AC72"/>
  <sheetViews>
    <sheetView showGridLines="0" view="pageBreakPreview" topLeftCell="M67" zoomScale="40" zoomScaleNormal="60" zoomScaleSheetLayoutView="40" workbookViewId="0">
      <selection activeCell="T71" sqref="T71"/>
    </sheetView>
  </sheetViews>
  <sheetFormatPr defaultRowHeight="14.45"/>
  <cols>
    <col min="1" max="1" width="14.5703125" customWidth="1"/>
    <col min="2" max="2" width="30" bestFit="1" customWidth="1"/>
    <col min="3" max="14" width="25.7109375" customWidth="1"/>
    <col min="15" max="15" width="7.85546875" customWidth="1"/>
    <col min="16" max="18" width="20.7109375" customWidth="1"/>
    <col min="19" max="19" width="8" customWidth="1"/>
    <col min="20" max="23" width="20.7109375" customWidth="1"/>
    <col min="25" max="25" width="20.7109375" customWidth="1"/>
  </cols>
  <sheetData>
    <row r="1" spans="1:25" ht="8.4499999999999993" customHeight="1">
      <c r="B1" s="24"/>
      <c r="C1" s="168"/>
      <c r="D1" s="168"/>
      <c r="E1" s="168"/>
      <c r="F1" s="168"/>
      <c r="K1" s="169"/>
      <c r="L1" s="169"/>
      <c r="M1" s="169"/>
      <c r="N1" s="169"/>
      <c r="O1" s="169"/>
      <c r="P1" s="170"/>
      <c r="Q1" s="170"/>
      <c r="R1" s="170"/>
      <c r="S1" s="170"/>
      <c r="T1" s="170"/>
      <c r="U1" s="170"/>
      <c r="V1" s="170"/>
      <c r="W1" s="170"/>
    </row>
    <row r="2" spans="1:25" ht="25.15" customHeight="1">
      <c r="A2" s="171" t="s">
        <v>169</v>
      </c>
      <c r="B2" s="171"/>
      <c r="C2" s="171"/>
      <c r="D2" s="171"/>
      <c r="E2" s="171"/>
      <c r="F2" s="171"/>
      <c r="G2" s="171"/>
      <c r="H2" s="171"/>
      <c r="I2" s="171"/>
      <c r="J2" s="171"/>
      <c r="K2" s="171"/>
      <c r="L2" s="171"/>
      <c r="M2" s="171"/>
      <c r="N2" s="171"/>
    </row>
    <row r="3" spans="1:25" ht="40.15" customHeight="1">
      <c r="A3" s="143" t="s">
        <v>1</v>
      </c>
      <c r="B3" s="143" t="s">
        <v>2</v>
      </c>
      <c r="C3" s="143" t="s">
        <v>3</v>
      </c>
      <c r="D3" s="143" t="s">
        <v>4</v>
      </c>
      <c r="E3" s="146" t="s">
        <v>5</v>
      </c>
      <c r="F3" s="143" t="s">
        <v>6</v>
      </c>
      <c r="G3" s="143"/>
      <c r="H3" s="143" t="s">
        <v>7</v>
      </c>
      <c r="I3" s="143"/>
      <c r="J3" s="143" t="s">
        <v>8</v>
      </c>
      <c r="K3" s="143"/>
      <c r="L3" s="147" t="s">
        <v>9</v>
      </c>
      <c r="M3" s="1" t="s">
        <v>10</v>
      </c>
      <c r="N3" s="143" t="s">
        <v>11</v>
      </c>
      <c r="P3" s="172" t="s">
        <v>12</v>
      </c>
      <c r="Q3" s="173"/>
      <c r="R3" s="173"/>
      <c r="T3" s="146" t="s">
        <v>13</v>
      </c>
      <c r="U3" s="146"/>
      <c r="V3" s="146" t="s">
        <v>14</v>
      </c>
      <c r="W3" s="146"/>
      <c r="Y3" s="173" t="s">
        <v>15</v>
      </c>
    </row>
    <row r="4" spans="1:25" ht="25.15" customHeight="1">
      <c r="A4" s="143"/>
      <c r="B4" s="143"/>
      <c r="C4" s="143"/>
      <c r="D4" s="143"/>
      <c r="E4" s="146"/>
      <c r="F4" s="143" t="s">
        <v>16</v>
      </c>
      <c r="G4" s="143"/>
      <c r="H4" s="143"/>
      <c r="I4" s="143"/>
      <c r="J4" s="143" t="s">
        <v>16</v>
      </c>
      <c r="K4" s="143"/>
      <c r="L4" s="147"/>
      <c r="M4" s="1" t="s">
        <v>16</v>
      </c>
      <c r="N4" s="143"/>
      <c r="P4" s="146" t="s">
        <v>17</v>
      </c>
      <c r="Q4" s="146" t="s">
        <v>170</v>
      </c>
      <c r="R4" s="146" t="s">
        <v>171</v>
      </c>
      <c r="T4" s="146" t="s">
        <v>20</v>
      </c>
      <c r="U4" s="146" t="s">
        <v>172</v>
      </c>
      <c r="V4" s="146" t="s">
        <v>22</v>
      </c>
      <c r="W4" s="146" t="s">
        <v>172</v>
      </c>
      <c r="Y4" s="173"/>
    </row>
    <row r="5" spans="1:25" ht="25.15" customHeight="1">
      <c r="A5" s="143"/>
      <c r="B5" s="143"/>
      <c r="C5" s="143"/>
      <c r="D5" s="143"/>
      <c r="E5" s="146"/>
      <c r="F5" s="1" t="s">
        <v>23</v>
      </c>
      <c r="G5" s="1" t="s">
        <v>24</v>
      </c>
      <c r="H5" s="1" t="s">
        <v>25</v>
      </c>
      <c r="I5" s="1" t="s">
        <v>26</v>
      </c>
      <c r="J5" s="1" t="s">
        <v>27</v>
      </c>
      <c r="K5" s="1" t="s">
        <v>28</v>
      </c>
      <c r="L5" s="147"/>
      <c r="M5" s="1"/>
      <c r="N5" s="143"/>
      <c r="P5" s="146"/>
      <c r="Q5" s="146"/>
      <c r="R5" s="146"/>
      <c r="T5" s="146"/>
      <c r="U5" s="146"/>
      <c r="V5" s="146"/>
      <c r="W5" s="146"/>
      <c r="Y5" s="174"/>
    </row>
    <row r="6" spans="1:25" ht="60" customHeight="1">
      <c r="A6" s="3" t="s">
        <v>173</v>
      </c>
      <c r="B6" s="11" t="s">
        <v>174</v>
      </c>
      <c r="C6" s="11" t="s">
        <v>175</v>
      </c>
      <c r="D6" s="11" t="s">
        <v>32</v>
      </c>
      <c r="E6" s="12">
        <v>15</v>
      </c>
      <c r="F6" s="10">
        <v>46159</v>
      </c>
      <c r="G6" s="5">
        <v>0.89027777777777772</v>
      </c>
      <c r="H6" s="5"/>
      <c r="I6" s="5"/>
      <c r="J6" s="10">
        <v>46159</v>
      </c>
      <c r="K6" s="5">
        <v>0.89375000000000004</v>
      </c>
      <c r="L6" s="44">
        <f>((J6+K6)-(F6+G6))*24</f>
        <v>8.3333333430346102E-2</v>
      </c>
      <c r="M6" s="3" t="s">
        <v>176</v>
      </c>
      <c r="N6" s="11" t="s">
        <v>35</v>
      </c>
      <c r="P6" s="28">
        <v>7</v>
      </c>
      <c r="Q6" s="64">
        <f>79.5833333327319/24</f>
        <v>3.3159722221971624</v>
      </c>
      <c r="R6" s="64">
        <f>Q6-P6</f>
        <v>-3.6840277778028376</v>
      </c>
      <c r="T6" s="28" t="s">
        <v>36</v>
      </c>
      <c r="U6" s="28" t="s">
        <v>36</v>
      </c>
      <c r="V6" s="28" t="s">
        <v>36</v>
      </c>
      <c r="W6" s="28" t="s">
        <v>36</v>
      </c>
      <c r="Y6" s="74" t="s">
        <v>177</v>
      </c>
    </row>
    <row r="7" spans="1:25" ht="60" customHeight="1">
      <c r="A7" s="3" t="s">
        <v>173</v>
      </c>
      <c r="B7" s="11" t="s">
        <v>178</v>
      </c>
      <c r="C7" s="11" t="s">
        <v>179</v>
      </c>
      <c r="D7" s="11" t="s">
        <v>32</v>
      </c>
      <c r="E7" s="12">
        <v>5</v>
      </c>
      <c r="F7" s="10">
        <v>46159</v>
      </c>
      <c r="G7" s="5">
        <v>0.67569444444444449</v>
      </c>
      <c r="H7" s="5"/>
      <c r="I7" s="5"/>
      <c r="J7" s="10">
        <v>46159</v>
      </c>
      <c r="K7" s="5">
        <v>0.69861111111111107</v>
      </c>
      <c r="L7" s="44">
        <f>((J7+K7)-(F7+G7))*24</f>
        <v>0.55000000004656613</v>
      </c>
      <c r="M7" s="3" t="s">
        <v>180</v>
      </c>
      <c r="N7" s="11" t="s">
        <v>60</v>
      </c>
      <c r="P7" s="28">
        <v>14</v>
      </c>
      <c r="Q7" s="64">
        <f>72.4333333329996/24</f>
        <v>3.0180555555416499</v>
      </c>
      <c r="R7" s="64">
        <f>Q7-P7</f>
        <v>-10.98194444445835</v>
      </c>
      <c r="T7" s="28" t="s">
        <v>181</v>
      </c>
      <c r="U7" s="28">
        <v>18.899999999999999</v>
      </c>
      <c r="V7" s="28" t="s">
        <v>36</v>
      </c>
      <c r="W7" s="28" t="s">
        <v>36</v>
      </c>
      <c r="Y7" s="74" t="s">
        <v>182</v>
      </c>
    </row>
    <row r="8" spans="1:25" ht="60" customHeight="1">
      <c r="A8" s="3" t="s">
        <v>173</v>
      </c>
      <c r="B8" s="11" t="s">
        <v>183</v>
      </c>
      <c r="C8" s="11" t="s">
        <v>184</v>
      </c>
      <c r="D8" s="11" t="s">
        <v>32</v>
      </c>
      <c r="E8" s="12">
        <v>21.76</v>
      </c>
      <c r="F8" s="10">
        <v>46159</v>
      </c>
      <c r="G8" s="5">
        <v>0.24444444444444444</v>
      </c>
      <c r="H8" s="5"/>
      <c r="I8" s="5"/>
      <c r="J8" s="10">
        <v>46159</v>
      </c>
      <c r="K8" s="5">
        <v>0.38124999999999998</v>
      </c>
      <c r="L8" s="44">
        <f>((J8+K8)-(F8+G8))*24</f>
        <v>3.28333333338378</v>
      </c>
      <c r="M8" s="3" t="s">
        <v>185</v>
      </c>
      <c r="N8" s="11" t="s">
        <v>35</v>
      </c>
      <c r="P8" s="28">
        <v>7</v>
      </c>
      <c r="Q8" s="28">
        <v>30.26</v>
      </c>
      <c r="R8" s="28">
        <f>Q8-P8</f>
        <v>23.26</v>
      </c>
      <c r="T8" s="28" t="s">
        <v>36</v>
      </c>
      <c r="U8" s="28" t="s">
        <v>36</v>
      </c>
      <c r="V8" s="28" t="s">
        <v>36</v>
      </c>
      <c r="W8" s="28" t="s">
        <v>36</v>
      </c>
      <c r="Y8" s="75" t="s">
        <v>186</v>
      </c>
    </row>
    <row r="9" spans="1:25" ht="60" customHeight="1">
      <c r="A9" s="3" t="s">
        <v>173</v>
      </c>
      <c r="B9" s="11" t="s">
        <v>187</v>
      </c>
      <c r="C9" s="11" t="s">
        <v>188</v>
      </c>
      <c r="D9" s="11" t="s">
        <v>32</v>
      </c>
      <c r="E9" s="12">
        <v>20</v>
      </c>
      <c r="F9" s="10">
        <v>46159</v>
      </c>
      <c r="G9" s="5">
        <v>0.24305555555555555</v>
      </c>
      <c r="H9" s="5"/>
      <c r="I9" s="5"/>
      <c r="J9" s="10">
        <v>46159</v>
      </c>
      <c r="K9" s="5">
        <v>0.77083333333333337</v>
      </c>
      <c r="L9" s="44">
        <f>((J9+K9)-(F9+G9))*24</f>
        <v>12.666666666744277</v>
      </c>
      <c r="M9" s="3" t="s">
        <v>189</v>
      </c>
      <c r="N9" s="11" t="s">
        <v>35</v>
      </c>
      <c r="P9" s="28">
        <v>7</v>
      </c>
      <c r="Q9" s="64">
        <f>235.299999999697/24</f>
        <v>9.8041666666540426</v>
      </c>
      <c r="R9" s="64">
        <f>Q9-P9</f>
        <v>2.8041666666540426</v>
      </c>
      <c r="T9" s="28" t="s">
        <v>36</v>
      </c>
      <c r="U9" s="28" t="s">
        <v>36</v>
      </c>
      <c r="V9" s="28" t="s">
        <v>36</v>
      </c>
      <c r="W9" s="28" t="s">
        <v>36</v>
      </c>
      <c r="Y9" s="74" t="s">
        <v>177</v>
      </c>
    </row>
    <row r="10" spans="1:25" ht="60" customHeight="1">
      <c r="A10" s="3" t="s">
        <v>173</v>
      </c>
      <c r="B10" s="11" t="s">
        <v>190</v>
      </c>
      <c r="C10" s="11" t="s">
        <v>191</v>
      </c>
      <c r="D10" s="11" t="s">
        <v>40</v>
      </c>
      <c r="E10" s="12">
        <v>1.3280000000000001</v>
      </c>
      <c r="F10" s="10">
        <v>46159</v>
      </c>
      <c r="G10" s="5">
        <v>8.1944444444444445E-2</v>
      </c>
      <c r="H10" s="165" t="s">
        <v>46</v>
      </c>
      <c r="I10" s="166"/>
      <c r="J10" s="10"/>
      <c r="K10" s="5"/>
      <c r="L10" s="44" t="s">
        <v>33</v>
      </c>
      <c r="M10" s="2" t="s">
        <v>192</v>
      </c>
      <c r="N10" s="11" t="s">
        <v>42</v>
      </c>
      <c r="P10" s="28" t="s">
        <v>33</v>
      </c>
      <c r="Q10" s="28" t="s">
        <v>33</v>
      </c>
      <c r="R10" s="28" t="s">
        <v>33</v>
      </c>
      <c r="T10" s="28" t="s">
        <v>36</v>
      </c>
      <c r="U10" s="28" t="s">
        <v>36</v>
      </c>
      <c r="V10" s="28" t="s">
        <v>36</v>
      </c>
      <c r="W10" s="28" t="s">
        <v>36</v>
      </c>
      <c r="Y10" s="175" t="s">
        <v>193</v>
      </c>
    </row>
    <row r="11" spans="1:25" ht="60" customHeight="1">
      <c r="A11" s="3" t="s">
        <v>173</v>
      </c>
      <c r="B11" s="11" t="s">
        <v>190</v>
      </c>
      <c r="C11" s="11" t="s">
        <v>191</v>
      </c>
      <c r="D11" s="11" t="s">
        <v>32</v>
      </c>
      <c r="E11" s="12">
        <v>1.3280000000000001</v>
      </c>
      <c r="F11" s="10">
        <v>46159</v>
      </c>
      <c r="G11" s="5">
        <v>8.1944444444444445E-2</v>
      </c>
      <c r="H11" s="165" t="s">
        <v>46</v>
      </c>
      <c r="I11" s="166"/>
      <c r="J11" s="10"/>
      <c r="K11" s="5"/>
      <c r="L11" s="44" t="s">
        <v>33</v>
      </c>
      <c r="M11" s="2" t="s">
        <v>192</v>
      </c>
      <c r="N11" s="11" t="s">
        <v>42</v>
      </c>
      <c r="P11" s="28" t="s">
        <v>33</v>
      </c>
      <c r="Q11" s="28" t="s">
        <v>33</v>
      </c>
      <c r="R11" s="28" t="s">
        <v>33</v>
      </c>
      <c r="T11" s="28" t="s">
        <v>36</v>
      </c>
      <c r="U11" s="28" t="s">
        <v>36</v>
      </c>
      <c r="V11" s="28" t="s">
        <v>36</v>
      </c>
      <c r="W11" s="28" t="s">
        <v>36</v>
      </c>
      <c r="Y11" s="162"/>
    </row>
    <row r="12" spans="1:25" ht="60" customHeight="1">
      <c r="A12" s="3" t="s">
        <v>173</v>
      </c>
      <c r="B12" s="11" t="s">
        <v>194</v>
      </c>
      <c r="C12" s="11" t="s">
        <v>195</v>
      </c>
      <c r="D12" s="11" t="s">
        <v>40</v>
      </c>
      <c r="E12" s="12">
        <v>83.7</v>
      </c>
      <c r="F12" s="10">
        <v>46159</v>
      </c>
      <c r="G12" s="5">
        <v>1.9444444444444445E-2</v>
      </c>
      <c r="H12" s="5"/>
      <c r="I12" s="5"/>
      <c r="J12" s="10">
        <v>46159</v>
      </c>
      <c r="K12" s="5">
        <v>0.18333333333333332</v>
      </c>
      <c r="L12" s="44">
        <f>((J12+K12)-(F12+G12))*24</f>
        <v>3.933333333407063</v>
      </c>
      <c r="M12" s="3" t="s">
        <v>196</v>
      </c>
      <c r="N12" s="11" t="s">
        <v>96</v>
      </c>
      <c r="P12" s="28">
        <v>16.899999999999999</v>
      </c>
      <c r="Q12" s="64">
        <f>47.966666666558/24</f>
        <v>1.9986111111065832</v>
      </c>
      <c r="R12" s="64">
        <f>Q12-P12</f>
        <v>-14.901388888893415</v>
      </c>
      <c r="T12" s="27" t="s">
        <v>197</v>
      </c>
      <c r="U12" s="27" t="s">
        <v>198</v>
      </c>
      <c r="V12" s="28" t="s">
        <v>36</v>
      </c>
      <c r="W12" s="28" t="s">
        <v>36</v>
      </c>
      <c r="Y12" s="74" t="s">
        <v>199</v>
      </c>
    </row>
    <row r="13" spans="1:25" ht="60" customHeight="1">
      <c r="A13" s="3" t="s">
        <v>173</v>
      </c>
      <c r="B13" s="11" t="s">
        <v>200</v>
      </c>
      <c r="C13" s="11" t="s">
        <v>201</v>
      </c>
      <c r="D13" s="11" t="s">
        <v>202</v>
      </c>
      <c r="E13" s="12">
        <v>15</v>
      </c>
      <c r="F13" s="10">
        <v>46158</v>
      </c>
      <c r="G13" s="5">
        <v>0.98750000000000004</v>
      </c>
      <c r="H13" s="5"/>
      <c r="I13" s="5"/>
      <c r="J13" s="10">
        <v>46159</v>
      </c>
      <c r="K13" s="5">
        <v>0.2986111111111111</v>
      </c>
      <c r="L13" s="44">
        <f>((J13+K13)-(F13+G13))*24</f>
        <v>7.4666666665580124</v>
      </c>
      <c r="M13" s="3" t="s">
        <v>203</v>
      </c>
      <c r="N13" s="11" t="s">
        <v>60</v>
      </c>
      <c r="P13" s="28">
        <v>14</v>
      </c>
      <c r="Q13" s="28">
        <v>2.56</v>
      </c>
      <c r="R13" s="28">
        <f>Q13-P13</f>
        <v>-11.44</v>
      </c>
      <c r="T13" s="28" t="s">
        <v>36</v>
      </c>
      <c r="U13" s="28" t="s">
        <v>36</v>
      </c>
      <c r="V13" s="28" t="s">
        <v>36</v>
      </c>
      <c r="W13" s="28" t="s">
        <v>36</v>
      </c>
      <c r="Y13" s="74" t="s">
        <v>204</v>
      </c>
    </row>
    <row r="14" spans="1:25" ht="60" customHeight="1">
      <c r="A14" s="3" t="s">
        <v>173</v>
      </c>
      <c r="B14" s="11" t="s">
        <v>205</v>
      </c>
      <c r="C14" s="11" t="s">
        <v>206</v>
      </c>
      <c r="D14" s="11" t="s">
        <v>68</v>
      </c>
      <c r="E14" s="12">
        <v>40</v>
      </c>
      <c r="F14" s="10">
        <v>46158</v>
      </c>
      <c r="G14" s="5">
        <v>0.96875</v>
      </c>
      <c r="H14" s="10">
        <v>46173</v>
      </c>
      <c r="I14" s="5">
        <v>0</v>
      </c>
      <c r="J14" s="10"/>
      <c r="K14" s="5"/>
      <c r="L14" s="44" t="s">
        <v>33</v>
      </c>
      <c r="M14" s="3" t="s">
        <v>207</v>
      </c>
      <c r="N14" s="11" t="s">
        <v>35</v>
      </c>
      <c r="P14" s="28">
        <v>7</v>
      </c>
      <c r="Q14" s="28">
        <v>21.08</v>
      </c>
      <c r="R14" s="28">
        <f>Q14-P14</f>
        <v>14.079999999999998</v>
      </c>
      <c r="T14" s="28" t="s">
        <v>36</v>
      </c>
      <c r="U14" s="28" t="s">
        <v>36</v>
      </c>
      <c r="V14" s="28" t="s">
        <v>36</v>
      </c>
      <c r="W14" s="28" t="s">
        <v>36</v>
      </c>
      <c r="Y14" s="74" t="s">
        <v>208</v>
      </c>
    </row>
    <row r="15" spans="1:25" ht="60" customHeight="1">
      <c r="A15" s="3" t="s">
        <v>173</v>
      </c>
      <c r="B15" s="11" t="s">
        <v>209</v>
      </c>
      <c r="C15" s="11" t="s">
        <v>210</v>
      </c>
      <c r="D15" s="11" t="s">
        <v>211</v>
      </c>
      <c r="E15" s="12">
        <v>7.0590000000000002</v>
      </c>
      <c r="F15" s="10">
        <v>46158</v>
      </c>
      <c r="G15" s="5">
        <v>0.81597222222222221</v>
      </c>
      <c r="H15" s="10">
        <v>46161</v>
      </c>
      <c r="I15" s="5">
        <v>0.83333333333333337</v>
      </c>
      <c r="J15" s="10"/>
      <c r="K15" s="5"/>
      <c r="L15" s="44" t="s">
        <v>33</v>
      </c>
      <c r="M15" s="3" t="s">
        <v>212</v>
      </c>
      <c r="N15" s="11" t="s">
        <v>60</v>
      </c>
      <c r="P15" s="28">
        <v>14</v>
      </c>
      <c r="Q15" s="64">
        <f>61.5499999998137/24</f>
        <v>2.564583333325571</v>
      </c>
      <c r="R15" s="64">
        <f>Q15-P15</f>
        <v>-11.435416666674429</v>
      </c>
      <c r="T15" s="28" t="s">
        <v>213</v>
      </c>
      <c r="U15" s="28" t="s">
        <v>214</v>
      </c>
      <c r="V15" s="28" t="s">
        <v>36</v>
      </c>
      <c r="W15" s="28" t="s">
        <v>36</v>
      </c>
      <c r="Y15" s="74" t="s">
        <v>215</v>
      </c>
    </row>
    <row r="16" spans="1:25" ht="60" customHeight="1">
      <c r="A16" s="3" t="s">
        <v>173</v>
      </c>
      <c r="B16" s="11" t="s">
        <v>200</v>
      </c>
      <c r="C16" s="11" t="s">
        <v>216</v>
      </c>
      <c r="D16" s="11" t="s">
        <v>68</v>
      </c>
      <c r="E16" s="12">
        <v>5.52</v>
      </c>
      <c r="F16" s="10">
        <v>46158</v>
      </c>
      <c r="G16" s="5">
        <v>0.79305555555555551</v>
      </c>
      <c r="H16" s="29"/>
      <c r="I16" s="29"/>
      <c r="J16" s="10">
        <v>46158</v>
      </c>
      <c r="K16" s="5">
        <v>0.85416666666666663</v>
      </c>
      <c r="L16" s="44">
        <f>((J16+K16)-(F16+G16))*24</f>
        <v>1.4666666665580124</v>
      </c>
      <c r="M16" s="3" t="s">
        <v>217</v>
      </c>
      <c r="N16" s="11" t="s">
        <v>60</v>
      </c>
      <c r="P16" s="60">
        <v>14</v>
      </c>
      <c r="Q16" s="64">
        <v>3.3534722222175333</v>
      </c>
      <c r="R16" s="64">
        <f>Q16-P16</f>
        <v>-10.646527777782467</v>
      </c>
      <c r="T16" s="28" t="s">
        <v>218</v>
      </c>
      <c r="U16" s="28" t="s">
        <v>219</v>
      </c>
      <c r="V16" s="28" t="s">
        <v>36</v>
      </c>
      <c r="W16" s="28" t="s">
        <v>36</v>
      </c>
      <c r="Y16" s="74" t="s">
        <v>204</v>
      </c>
    </row>
    <row r="17" spans="1:29" s="25" customFormat="1" ht="60" customHeight="1">
      <c r="A17" s="3" t="s">
        <v>173</v>
      </c>
      <c r="B17" s="11" t="s">
        <v>220</v>
      </c>
      <c r="C17" s="11" t="s">
        <v>221</v>
      </c>
      <c r="D17" s="11" t="s">
        <v>40</v>
      </c>
      <c r="E17" s="12">
        <v>3.6</v>
      </c>
      <c r="F17" s="10">
        <v>46158</v>
      </c>
      <c r="G17" s="5">
        <v>0.58333333333333337</v>
      </c>
      <c r="H17" s="5"/>
      <c r="I17" s="5"/>
      <c r="J17" s="10">
        <v>46160</v>
      </c>
      <c r="K17" s="5">
        <v>0.33333333333333331</v>
      </c>
      <c r="L17" s="44">
        <f>((J17+K17)-(F17+G17))*24</f>
        <v>42</v>
      </c>
      <c r="M17" s="2" t="s">
        <v>222</v>
      </c>
      <c r="N17" s="11" t="s">
        <v>42</v>
      </c>
      <c r="O17"/>
      <c r="P17" s="28" t="s">
        <v>33</v>
      </c>
      <c r="Q17" s="28" t="s">
        <v>33</v>
      </c>
      <c r="R17" s="28" t="s">
        <v>33</v>
      </c>
      <c r="S17"/>
      <c r="T17" s="28" t="s">
        <v>223</v>
      </c>
      <c r="U17" s="28" t="s">
        <v>224</v>
      </c>
      <c r="V17" s="28" t="s">
        <v>36</v>
      </c>
      <c r="W17" s="28" t="s">
        <v>36</v>
      </c>
      <c r="X17"/>
      <c r="Y17" s="74" t="s">
        <v>225</v>
      </c>
      <c r="Z17"/>
      <c r="AA17"/>
      <c r="AB17"/>
      <c r="AC17"/>
    </row>
    <row r="18" spans="1:29" s="25" customFormat="1" ht="60" customHeight="1">
      <c r="A18" s="3" t="s">
        <v>173</v>
      </c>
      <c r="B18" s="11" t="s">
        <v>190</v>
      </c>
      <c r="C18" s="11" t="s">
        <v>191</v>
      </c>
      <c r="D18" s="11" t="s">
        <v>40</v>
      </c>
      <c r="E18" s="12">
        <v>1.3280000000000001</v>
      </c>
      <c r="F18" s="10">
        <v>46158</v>
      </c>
      <c r="G18" s="5">
        <v>0.57986111111111116</v>
      </c>
      <c r="H18" s="5"/>
      <c r="I18" s="5"/>
      <c r="J18" s="10">
        <v>46158</v>
      </c>
      <c r="K18" s="5">
        <v>0.63888888888888884</v>
      </c>
      <c r="L18" s="44">
        <f>((J18+K18)-(F18+G18))*24</f>
        <v>1.4166666667442769</v>
      </c>
      <c r="M18" s="2" t="s">
        <v>192</v>
      </c>
      <c r="N18" s="11" t="s">
        <v>42</v>
      </c>
      <c r="O18"/>
      <c r="P18" s="28" t="s">
        <v>33</v>
      </c>
      <c r="Q18" s="28" t="s">
        <v>33</v>
      </c>
      <c r="R18" s="28" t="s">
        <v>33</v>
      </c>
      <c r="S18"/>
      <c r="T18" s="28" t="s">
        <v>226</v>
      </c>
      <c r="U18" s="28" t="s">
        <v>227</v>
      </c>
      <c r="V18" s="28" t="s">
        <v>36</v>
      </c>
      <c r="W18" s="28" t="s">
        <v>36</v>
      </c>
      <c r="X18"/>
      <c r="Y18" s="75" t="s">
        <v>193</v>
      </c>
      <c r="Z18"/>
      <c r="AA18"/>
      <c r="AB18"/>
      <c r="AC18"/>
    </row>
    <row r="19" spans="1:29" s="25" customFormat="1" ht="60" customHeight="1">
      <c r="A19" s="3" t="s">
        <v>173</v>
      </c>
      <c r="B19" s="11" t="s">
        <v>174</v>
      </c>
      <c r="C19" s="11" t="s">
        <v>175</v>
      </c>
      <c r="D19" s="11" t="s">
        <v>32</v>
      </c>
      <c r="E19" s="12">
        <v>15</v>
      </c>
      <c r="F19" s="10">
        <v>46158</v>
      </c>
      <c r="G19" s="5">
        <v>0.30555555555555558</v>
      </c>
      <c r="H19" s="29"/>
      <c r="I19" s="29"/>
      <c r="J19" s="10">
        <v>46158</v>
      </c>
      <c r="K19" s="5">
        <v>0.30972222222222223</v>
      </c>
      <c r="L19" s="44">
        <f>((J19+K19)-(F19+G19))*24</f>
        <v>9.9999999976716936E-2</v>
      </c>
      <c r="M19" s="3" t="s">
        <v>176</v>
      </c>
      <c r="N19" s="11" t="s">
        <v>35</v>
      </c>
      <c r="O19"/>
      <c r="P19" s="28">
        <v>7</v>
      </c>
      <c r="Q19" s="64">
        <v>3.3159722221971624</v>
      </c>
      <c r="R19" s="64">
        <f>Q19-P19</f>
        <v>-3.6840277778028376</v>
      </c>
      <c r="S19"/>
      <c r="T19" s="28" t="s">
        <v>36</v>
      </c>
      <c r="U19" s="28" t="s">
        <v>36</v>
      </c>
      <c r="V19" s="28" t="s">
        <v>36</v>
      </c>
      <c r="W19" s="28" t="s">
        <v>36</v>
      </c>
      <c r="X19"/>
      <c r="Y19" s="74" t="s">
        <v>177</v>
      </c>
      <c r="Z19"/>
      <c r="AA19"/>
      <c r="AB19"/>
      <c r="AC19"/>
    </row>
    <row r="20" spans="1:29" s="25" customFormat="1" ht="60" customHeight="1">
      <c r="A20" s="3" t="s">
        <v>173</v>
      </c>
      <c r="B20" s="3" t="s">
        <v>190</v>
      </c>
      <c r="C20" s="3" t="s">
        <v>191</v>
      </c>
      <c r="D20" s="3" t="s">
        <v>32</v>
      </c>
      <c r="E20" s="12">
        <v>1.3280000000000001</v>
      </c>
      <c r="F20" s="10">
        <v>46158</v>
      </c>
      <c r="G20" s="5">
        <v>6.25E-2</v>
      </c>
      <c r="H20" s="5"/>
      <c r="I20" s="5"/>
      <c r="J20" s="10">
        <v>46159</v>
      </c>
      <c r="K20" s="5">
        <v>0.4597222222222222</v>
      </c>
      <c r="L20" s="44">
        <f>((J20+K20)-(F20+G20))*24</f>
        <v>33.533333333325572</v>
      </c>
      <c r="M20" s="2" t="s">
        <v>192</v>
      </c>
      <c r="N20" s="11" t="s">
        <v>42</v>
      </c>
      <c r="O20"/>
      <c r="P20" s="28" t="s">
        <v>33</v>
      </c>
      <c r="Q20" s="28" t="s">
        <v>33</v>
      </c>
      <c r="R20" s="28" t="s">
        <v>33</v>
      </c>
      <c r="S20"/>
      <c r="T20" s="28" t="s">
        <v>226</v>
      </c>
      <c r="U20" s="28" t="s">
        <v>227</v>
      </c>
      <c r="V20" s="28" t="s">
        <v>36</v>
      </c>
      <c r="W20" s="28" t="s">
        <v>36</v>
      </c>
      <c r="X20"/>
      <c r="Y20" s="75" t="s">
        <v>193</v>
      </c>
      <c r="Z20"/>
      <c r="AA20"/>
      <c r="AB20"/>
      <c r="AC20"/>
    </row>
    <row r="21" spans="1:29" s="25" customFormat="1" ht="60" customHeight="1">
      <c r="A21" s="3" t="s">
        <v>173</v>
      </c>
      <c r="B21" s="3" t="s">
        <v>228</v>
      </c>
      <c r="C21" s="3" t="s">
        <v>229</v>
      </c>
      <c r="D21" s="3" t="s">
        <v>68</v>
      </c>
      <c r="E21" s="4">
        <v>41</v>
      </c>
      <c r="F21" s="10">
        <v>46158</v>
      </c>
      <c r="G21" s="5">
        <v>2.0833333333333332E-2</v>
      </c>
      <c r="H21" s="29"/>
      <c r="I21" s="29"/>
      <c r="J21" s="10">
        <v>46160</v>
      </c>
      <c r="K21" s="5">
        <v>9.7916666666666666E-2</v>
      </c>
      <c r="L21" s="44">
        <f>((J21+K21)-(F21+G21))*24</f>
        <v>49.849999999918509</v>
      </c>
      <c r="M21" s="3" t="s">
        <v>230</v>
      </c>
      <c r="N21" s="3" t="s">
        <v>102</v>
      </c>
      <c r="O21"/>
      <c r="P21" s="60">
        <v>13.7</v>
      </c>
      <c r="Q21" s="64">
        <v>10.3</v>
      </c>
      <c r="R21" s="64">
        <f>Q21-P21</f>
        <v>-3.3999999999999986</v>
      </c>
      <c r="S21"/>
      <c r="T21" s="27" t="s">
        <v>231</v>
      </c>
      <c r="U21" s="27" t="s">
        <v>232</v>
      </c>
      <c r="V21" s="28" t="s">
        <v>36</v>
      </c>
      <c r="W21" s="28" t="s">
        <v>36</v>
      </c>
      <c r="X21"/>
      <c r="Y21" s="74" t="s">
        <v>53</v>
      </c>
      <c r="Z21"/>
      <c r="AA21"/>
      <c r="AB21"/>
      <c r="AC21"/>
    </row>
    <row r="22" spans="1:29" s="25" customFormat="1" ht="60" customHeight="1">
      <c r="A22" s="3" t="s">
        <v>173</v>
      </c>
      <c r="B22" s="3" t="s">
        <v>200</v>
      </c>
      <c r="C22" s="11" t="s">
        <v>201</v>
      </c>
      <c r="D22" s="11" t="s">
        <v>233</v>
      </c>
      <c r="E22" s="12">
        <v>15</v>
      </c>
      <c r="F22" s="14">
        <v>46157</v>
      </c>
      <c r="G22" s="15">
        <v>0.91249999999999998</v>
      </c>
      <c r="H22" s="5"/>
      <c r="I22" s="5"/>
      <c r="J22" s="14">
        <v>46157</v>
      </c>
      <c r="K22" s="15">
        <v>0.96527777777777779</v>
      </c>
      <c r="L22" s="44">
        <f>((J22+K22)-(F22+G22))*24</f>
        <v>1.2666666667792015</v>
      </c>
      <c r="M22" s="3" t="s">
        <v>234</v>
      </c>
      <c r="N22" s="11" t="s">
        <v>60</v>
      </c>
      <c r="O22"/>
      <c r="P22" s="28">
        <v>14</v>
      </c>
      <c r="Q22" s="28">
        <v>2.77</v>
      </c>
      <c r="R22" s="28">
        <f>Q22-P22</f>
        <v>-11.23</v>
      </c>
      <c r="S22"/>
      <c r="T22" s="28" t="s">
        <v>36</v>
      </c>
      <c r="U22" s="28" t="s">
        <v>36</v>
      </c>
      <c r="V22" s="28" t="s">
        <v>36</v>
      </c>
      <c r="W22" s="28" t="s">
        <v>36</v>
      </c>
      <c r="X22"/>
      <c r="Y22" s="149" t="s">
        <v>204</v>
      </c>
      <c r="Z22"/>
      <c r="AA22"/>
      <c r="AB22"/>
      <c r="AC22"/>
    </row>
    <row r="23" spans="1:29" s="25" customFormat="1" ht="60" customHeight="1">
      <c r="A23" s="3" t="s">
        <v>173</v>
      </c>
      <c r="B23" s="3" t="s">
        <v>200</v>
      </c>
      <c r="C23" s="3" t="s">
        <v>216</v>
      </c>
      <c r="D23" s="3" t="s">
        <v>56</v>
      </c>
      <c r="E23" s="4">
        <v>5.52</v>
      </c>
      <c r="F23" s="10">
        <v>46157</v>
      </c>
      <c r="G23" s="5">
        <v>0.90972222222222221</v>
      </c>
      <c r="H23" s="29"/>
      <c r="I23" s="29"/>
      <c r="J23" s="10">
        <v>46158</v>
      </c>
      <c r="K23" s="5">
        <v>0</v>
      </c>
      <c r="L23" s="44">
        <f>((J23+K23)-(F23+G23))*24</f>
        <v>2.1666666667442769</v>
      </c>
      <c r="M23" s="3" t="s">
        <v>235</v>
      </c>
      <c r="N23" s="3" t="s">
        <v>60</v>
      </c>
      <c r="O23"/>
      <c r="P23" s="60">
        <v>14</v>
      </c>
      <c r="Q23" s="64">
        <v>1.0208333333212067</v>
      </c>
      <c r="R23" s="64">
        <f>Q23-P23</f>
        <v>-12.979166666678793</v>
      </c>
      <c r="S23"/>
      <c r="T23" s="28" t="s">
        <v>218</v>
      </c>
      <c r="U23" s="28" t="s">
        <v>219</v>
      </c>
      <c r="V23" s="28" t="s">
        <v>36</v>
      </c>
      <c r="W23" s="28" t="s">
        <v>36</v>
      </c>
      <c r="X23"/>
      <c r="Y23" s="176"/>
      <c r="Z23"/>
      <c r="AA23"/>
      <c r="AB23"/>
      <c r="AC23"/>
    </row>
    <row r="24" spans="1:29" s="25" customFormat="1" ht="60" customHeight="1">
      <c r="A24" s="3" t="s">
        <v>173</v>
      </c>
      <c r="B24" s="3" t="s">
        <v>178</v>
      </c>
      <c r="C24" s="11" t="s">
        <v>179</v>
      </c>
      <c r="D24" s="11" t="s">
        <v>40</v>
      </c>
      <c r="E24" s="12">
        <v>5</v>
      </c>
      <c r="F24" s="14">
        <v>46157</v>
      </c>
      <c r="G24" s="15">
        <v>0.59513888888888888</v>
      </c>
      <c r="H24" s="5"/>
      <c r="I24" s="5"/>
      <c r="J24" s="14">
        <v>46158</v>
      </c>
      <c r="K24" s="15">
        <v>0.8666666666666667</v>
      </c>
      <c r="L24" s="44">
        <f>((J24+K24)-(F24+G24))*24</f>
        <v>30.516666666779201</v>
      </c>
      <c r="M24" s="3" t="s">
        <v>236</v>
      </c>
      <c r="N24" s="11" t="s">
        <v>60</v>
      </c>
      <c r="O24"/>
      <c r="P24" s="28">
        <v>14</v>
      </c>
      <c r="Q24" s="134">
        <f>53.6666666666279/24</f>
        <v>2.2361111111094956</v>
      </c>
      <c r="R24" s="64">
        <f>Q24-P24</f>
        <v>-11.763888888890504</v>
      </c>
      <c r="S24"/>
      <c r="T24" s="28" t="s">
        <v>237</v>
      </c>
      <c r="U24" s="28" t="s">
        <v>238</v>
      </c>
      <c r="V24" s="28" t="s">
        <v>36</v>
      </c>
      <c r="W24" s="28" t="s">
        <v>36</v>
      </c>
      <c r="X24"/>
      <c r="Y24" s="74" t="s">
        <v>182</v>
      </c>
      <c r="Z24"/>
      <c r="AA24"/>
      <c r="AB24"/>
      <c r="AC24"/>
    </row>
    <row r="25" spans="1:29" s="25" customFormat="1" ht="60" customHeight="1">
      <c r="A25" s="3" t="s">
        <v>173</v>
      </c>
      <c r="B25" s="3" t="s">
        <v>200</v>
      </c>
      <c r="C25" s="11" t="s">
        <v>216</v>
      </c>
      <c r="D25" s="11" t="s">
        <v>40</v>
      </c>
      <c r="E25" s="12">
        <v>5.52</v>
      </c>
      <c r="F25" s="10">
        <v>46157</v>
      </c>
      <c r="G25" s="5">
        <v>0.54236111111111107</v>
      </c>
      <c r="H25" s="6"/>
      <c r="I25" s="5"/>
      <c r="J25" s="10">
        <v>46160</v>
      </c>
      <c r="K25" s="5">
        <v>4.1666666666666664E-2</v>
      </c>
      <c r="L25" s="44">
        <f>((J25+K25)-(F25+G25))*24</f>
        <v>59.983333333279006</v>
      </c>
      <c r="M25" s="3" t="s">
        <v>239</v>
      </c>
      <c r="N25" s="3" t="s">
        <v>60</v>
      </c>
      <c r="O25"/>
      <c r="P25" s="60">
        <v>14</v>
      </c>
      <c r="Q25" s="64">
        <v>3.125000000007276</v>
      </c>
      <c r="R25" s="64">
        <f>Q25-P25</f>
        <v>-10.874999999992724</v>
      </c>
      <c r="S25"/>
      <c r="T25" s="28" t="s">
        <v>218</v>
      </c>
      <c r="U25" s="28" t="s">
        <v>219</v>
      </c>
      <c r="V25" s="28" t="s">
        <v>36</v>
      </c>
      <c r="W25" s="28" t="s">
        <v>36</v>
      </c>
      <c r="X25"/>
      <c r="Y25" s="149" t="s">
        <v>204</v>
      </c>
      <c r="Z25"/>
      <c r="AA25"/>
      <c r="AB25"/>
      <c r="AC25"/>
    </row>
    <row r="26" spans="1:29" s="25" customFormat="1" ht="60" customHeight="1">
      <c r="A26" s="3" t="s">
        <v>173</v>
      </c>
      <c r="B26" s="11" t="s">
        <v>200</v>
      </c>
      <c r="C26" s="11" t="s">
        <v>201</v>
      </c>
      <c r="D26" s="11" t="s">
        <v>202</v>
      </c>
      <c r="E26" s="12">
        <v>15</v>
      </c>
      <c r="F26" s="10">
        <v>46157</v>
      </c>
      <c r="G26" s="5">
        <v>0.46597222222222223</v>
      </c>
      <c r="H26" s="6"/>
      <c r="I26" s="5"/>
      <c r="J26" s="10">
        <v>46157</v>
      </c>
      <c r="K26" s="5">
        <v>0.63194444444444442</v>
      </c>
      <c r="L26" s="44">
        <f>((J26+K26)-(F26+G26))*24</f>
        <v>3.9833333333954215</v>
      </c>
      <c r="M26" s="3" t="s">
        <v>240</v>
      </c>
      <c r="N26" s="3" t="s">
        <v>60</v>
      </c>
      <c r="O26"/>
      <c r="P26" s="28" t="s">
        <v>33</v>
      </c>
      <c r="Q26" s="28" t="s">
        <v>33</v>
      </c>
      <c r="R26" s="28" t="s">
        <v>33</v>
      </c>
      <c r="S26"/>
      <c r="T26" s="28" t="s">
        <v>36</v>
      </c>
      <c r="U26" s="28" t="s">
        <v>36</v>
      </c>
      <c r="V26" s="28" t="s">
        <v>36</v>
      </c>
      <c r="W26" s="28" t="s">
        <v>36</v>
      </c>
      <c r="X26"/>
      <c r="Y26" s="176"/>
      <c r="Z26"/>
      <c r="AA26"/>
      <c r="AB26"/>
      <c r="AC26"/>
    </row>
    <row r="27" spans="1:29" s="25" customFormat="1" ht="60" customHeight="1">
      <c r="A27" s="3" t="s">
        <v>173</v>
      </c>
      <c r="B27" s="11" t="s">
        <v>241</v>
      </c>
      <c r="C27" s="11" t="s">
        <v>242</v>
      </c>
      <c r="D27" s="11" t="s">
        <v>76</v>
      </c>
      <c r="E27" s="12">
        <v>11.45</v>
      </c>
      <c r="F27" s="10">
        <v>46157</v>
      </c>
      <c r="G27" s="5">
        <v>0.46250000000000002</v>
      </c>
      <c r="H27" s="5"/>
      <c r="I27" s="5"/>
      <c r="J27" s="10">
        <v>46157</v>
      </c>
      <c r="K27" s="5">
        <v>0.61736111111111114</v>
      </c>
      <c r="L27" s="44">
        <f>((J27+K27)-(F27+G27))*24</f>
        <v>3.7166666665580124</v>
      </c>
      <c r="M27" s="3" t="s">
        <v>243</v>
      </c>
      <c r="N27" s="3" t="s">
        <v>60</v>
      </c>
      <c r="O27"/>
      <c r="P27" s="60">
        <v>14</v>
      </c>
      <c r="Q27" s="64">
        <v>45.436111111543141</v>
      </c>
      <c r="R27" s="64">
        <f>Q27-P27</f>
        <v>31.436111111543141</v>
      </c>
      <c r="S27"/>
      <c r="T27" s="27" t="s">
        <v>244</v>
      </c>
      <c r="U27" s="28" t="s">
        <v>245</v>
      </c>
      <c r="V27" s="28" t="s">
        <v>36</v>
      </c>
      <c r="W27" s="28" t="s">
        <v>36</v>
      </c>
      <c r="X27"/>
      <c r="Y27" s="74" t="s">
        <v>199</v>
      </c>
      <c r="Z27"/>
      <c r="AA27"/>
      <c r="AB27"/>
      <c r="AC27"/>
    </row>
    <row r="28" spans="1:29" s="25" customFormat="1" ht="60" customHeight="1">
      <c r="A28" s="3" t="s">
        <v>173</v>
      </c>
      <c r="B28" s="3" t="s">
        <v>200</v>
      </c>
      <c r="C28" s="11" t="s">
        <v>246</v>
      </c>
      <c r="D28" s="11" t="s">
        <v>88</v>
      </c>
      <c r="E28" s="12">
        <v>7.44</v>
      </c>
      <c r="F28" s="14">
        <v>46157</v>
      </c>
      <c r="G28" s="15">
        <v>0.43819444444444444</v>
      </c>
      <c r="H28" s="5"/>
      <c r="I28" s="5"/>
      <c r="J28" s="14">
        <v>46159</v>
      </c>
      <c r="K28" s="15">
        <v>0.2986111111111111</v>
      </c>
      <c r="L28" s="44">
        <f>((J28+K28)-(F28+G28))*24</f>
        <v>44.649999999906868</v>
      </c>
      <c r="M28" s="3" t="s">
        <v>247</v>
      </c>
      <c r="N28" s="11" t="s">
        <v>60</v>
      </c>
      <c r="O28"/>
      <c r="P28" s="28">
        <v>14</v>
      </c>
      <c r="Q28" s="28">
        <v>5.5</v>
      </c>
      <c r="R28" s="64">
        <f>Q28-P28</f>
        <v>-8.5</v>
      </c>
      <c r="S28"/>
      <c r="T28" s="28" t="s">
        <v>36</v>
      </c>
      <c r="U28" s="28" t="s">
        <v>36</v>
      </c>
      <c r="V28" s="28" t="s">
        <v>36</v>
      </c>
      <c r="W28" s="28" t="s">
        <v>36</v>
      </c>
      <c r="X28"/>
      <c r="Y28" s="74" t="s">
        <v>204</v>
      </c>
      <c r="Z28"/>
      <c r="AA28"/>
      <c r="AB28"/>
      <c r="AC28"/>
    </row>
    <row r="29" spans="1:29" s="25" customFormat="1" ht="60" customHeight="1">
      <c r="A29" s="3" t="s">
        <v>173</v>
      </c>
      <c r="B29" s="3" t="s">
        <v>183</v>
      </c>
      <c r="C29" s="11" t="s">
        <v>184</v>
      </c>
      <c r="D29" s="11" t="s">
        <v>32</v>
      </c>
      <c r="E29" s="12">
        <v>21.76</v>
      </c>
      <c r="F29" s="14">
        <v>46157</v>
      </c>
      <c r="G29" s="15">
        <v>0.12986111111111112</v>
      </c>
      <c r="H29" s="5"/>
      <c r="I29" s="5"/>
      <c r="J29" s="14">
        <v>46158</v>
      </c>
      <c r="K29" s="15">
        <v>0.60902777777777772</v>
      </c>
      <c r="L29" s="44">
        <f>((J29+K29)-(F29+G29))*24</f>
        <v>35.499999999941792</v>
      </c>
      <c r="M29" s="3" t="s">
        <v>248</v>
      </c>
      <c r="N29" s="11" t="s">
        <v>35</v>
      </c>
      <c r="O29"/>
      <c r="P29" s="28" t="s">
        <v>33</v>
      </c>
      <c r="Q29" s="28" t="s">
        <v>33</v>
      </c>
      <c r="R29" s="28" t="s">
        <v>33</v>
      </c>
      <c r="S29"/>
      <c r="T29" s="27" t="s">
        <v>249</v>
      </c>
      <c r="U29" s="28" t="s">
        <v>250</v>
      </c>
      <c r="V29" s="28" t="s">
        <v>36</v>
      </c>
      <c r="W29" s="28" t="s">
        <v>36</v>
      </c>
      <c r="X29"/>
      <c r="Y29" s="75" t="s">
        <v>186</v>
      </c>
      <c r="Z29"/>
      <c r="AA29"/>
      <c r="AB29"/>
      <c r="AC29"/>
    </row>
    <row r="30" spans="1:29" s="25" customFormat="1" ht="60" customHeight="1">
      <c r="A30" s="3" t="s">
        <v>173</v>
      </c>
      <c r="B30" s="3" t="s">
        <v>251</v>
      </c>
      <c r="C30" s="11" t="s">
        <v>252</v>
      </c>
      <c r="D30" s="11" t="s">
        <v>40</v>
      </c>
      <c r="E30" s="12">
        <v>16</v>
      </c>
      <c r="F30" s="14">
        <v>46157</v>
      </c>
      <c r="G30" s="15">
        <v>5.5555555555555552E-2</v>
      </c>
      <c r="H30" s="5"/>
      <c r="I30" s="5"/>
      <c r="J30" s="14">
        <v>46158</v>
      </c>
      <c r="K30" s="15">
        <v>0.7944444444444444</v>
      </c>
      <c r="L30" s="44">
        <f>((J30+K30)-(F30+G30))*24</f>
        <v>41.733333333337214</v>
      </c>
      <c r="M30" s="3" t="s">
        <v>253</v>
      </c>
      <c r="N30" s="11" t="s">
        <v>35</v>
      </c>
      <c r="O30"/>
      <c r="P30" s="60">
        <v>7</v>
      </c>
      <c r="Q30" s="64">
        <v>1.92</v>
      </c>
      <c r="R30" s="64">
        <f>Q30-P30</f>
        <v>-5.08</v>
      </c>
      <c r="S30"/>
      <c r="T30" s="28" t="s">
        <v>36</v>
      </c>
      <c r="U30" s="28" t="s">
        <v>36</v>
      </c>
      <c r="V30" s="28" t="s">
        <v>36</v>
      </c>
      <c r="W30" s="28" t="s">
        <v>36</v>
      </c>
      <c r="X30"/>
      <c r="Y30" s="75" t="s">
        <v>254</v>
      </c>
      <c r="Z30"/>
      <c r="AA30"/>
      <c r="AB30"/>
      <c r="AC30"/>
    </row>
    <row r="31" spans="1:29" s="25" customFormat="1" ht="60" customHeight="1">
      <c r="A31" s="3" t="s">
        <v>173</v>
      </c>
      <c r="B31" s="3" t="s">
        <v>200</v>
      </c>
      <c r="C31" s="11" t="s">
        <v>216</v>
      </c>
      <c r="D31" s="11" t="s">
        <v>68</v>
      </c>
      <c r="E31" s="12">
        <v>5.52</v>
      </c>
      <c r="F31" s="14">
        <v>46156</v>
      </c>
      <c r="G31" s="15">
        <v>0.97361111111111109</v>
      </c>
      <c r="H31" s="5"/>
      <c r="I31" s="5"/>
      <c r="J31" s="14">
        <v>46157</v>
      </c>
      <c r="K31" s="15">
        <v>8.3333333333333329E-2</v>
      </c>
      <c r="L31" s="44">
        <f>((J31+K31)-(F31+G31))*24</f>
        <v>2.6333333333604969</v>
      </c>
      <c r="M31" s="3" t="s">
        <v>255</v>
      </c>
      <c r="N31" s="11" t="s">
        <v>60</v>
      </c>
      <c r="O31"/>
      <c r="P31" s="60">
        <v>14</v>
      </c>
      <c r="Q31" s="64">
        <v>3.3534722222175333</v>
      </c>
      <c r="R31" s="64">
        <f>Q31-P31</f>
        <v>-10.646527777782467</v>
      </c>
      <c r="S31"/>
      <c r="T31" s="28" t="s">
        <v>218</v>
      </c>
      <c r="U31" s="28" t="s">
        <v>219</v>
      </c>
      <c r="V31" s="28" t="s">
        <v>36</v>
      </c>
      <c r="W31" s="28" t="s">
        <v>36</v>
      </c>
      <c r="X31"/>
      <c r="Y31" s="74" t="s">
        <v>204</v>
      </c>
      <c r="Z31"/>
      <c r="AA31"/>
      <c r="AB31"/>
      <c r="AC31"/>
    </row>
    <row r="32" spans="1:29" s="25" customFormat="1" ht="60" customHeight="1">
      <c r="A32" s="3" t="s">
        <v>173</v>
      </c>
      <c r="B32" s="3" t="s">
        <v>220</v>
      </c>
      <c r="C32" s="11" t="s">
        <v>221</v>
      </c>
      <c r="D32" s="11" t="s">
        <v>40</v>
      </c>
      <c r="E32" s="12">
        <v>3.6</v>
      </c>
      <c r="F32" s="14">
        <v>46156</v>
      </c>
      <c r="G32" s="15">
        <v>0.91666666666666663</v>
      </c>
      <c r="H32" s="165" t="s">
        <v>46</v>
      </c>
      <c r="I32" s="166"/>
      <c r="J32" s="14"/>
      <c r="K32" s="15"/>
      <c r="L32" s="44" t="s">
        <v>33</v>
      </c>
      <c r="M32" s="2" t="s">
        <v>222</v>
      </c>
      <c r="N32" s="11" t="s">
        <v>42</v>
      </c>
      <c r="O32"/>
      <c r="P32" s="28" t="s">
        <v>33</v>
      </c>
      <c r="Q32" s="28" t="s">
        <v>33</v>
      </c>
      <c r="R32" s="28" t="s">
        <v>33</v>
      </c>
      <c r="S32"/>
      <c r="T32" s="28" t="s">
        <v>223</v>
      </c>
      <c r="U32" s="28" t="s">
        <v>224</v>
      </c>
      <c r="V32" s="28" t="s">
        <v>36</v>
      </c>
      <c r="W32" s="28" t="s">
        <v>36</v>
      </c>
      <c r="X32"/>
      <c r="Y32" s="74" t="s">
        <v>225</v>
      </c>
      <c r="Z32"/>
      <c r="AA32"/>
      <c r="AB32"/>
      <c r="AC32"/>
    </row>
    <row r="33" spans="1:29" s="25" customFormat="1" ht="60" customHeight="1">
      <c r="A33" s="3" t="s">
        <v>173</v>
      </c>
      <c r="B33" s="3" t="s">
        <v>209</v>
      </c>
      <c r="C33" s="11" t="s">
        <v>210</v>
      </c>
      <c r="D33" s="11" t="s">
        <v>256</v>
      </c>
      <c r="E33" s="12">
        <v>7.0590000000000002</v>
      </c>
      <c r="F33" s="14">
        <v>46156</v>
      </c>
      <c r="G33" s="15">
        <v>0.83680555555555558</v>
      </c>
      <c r="H33" s="5"/>
      <c r="I33" s="5"/>
      <c r="J33" s="14">
        <v>46157</v>
      </c>
      <c r="K33" s="15">
        <v>0.14444444444444443</v>
      </c>
      <c r="L33" s="44">
        <f>((J33+K33)-(F33+G33))*24</f>
        <v>7.3833333333022892</v>
      </c>
      <c r="M33" s="3" t="s">
        <v>257</v>
      </c>
      <c r="N33" s="11" t="s">
        <v>60</v>
      </c>
      <c r="O33"/>
      <c r="P33" s="28">
        <v>14</v>
      </c>
      <c r="Q33" s="64">
        <f>48.0666666667094/24</f>
        <v>2.0027777777795586</v>
      </c>
      <c r="R33" s="64">
        <f>Q33-P33</f>
        <v>-11.997222222220442</v>
      </c>
      <c r="S33"/>
      <c r="T33" s="28" t="s">
        <v>213</v>
      </c>
      <c r="U33" s="28" t="s">
        <v>214</v>
      </c>
      <c r="V33" s="28" t="s">
        <v>36</v>
      </c>
      <c r="W33" s="28" t="s">
        <v>36</v>
      </c>
      <c r="X33"/>
      <c r="Y33" s="74" t="s">
        <v>215</v>
      </c>
      <c r="Z33"/>
      <c r="AA33"/>
      <c r="AB33"/>
      <c r="AC33"/>
    </row>
    <row r="34" spans="1:29" s="25" customFormat="1" ht="60" customHeight="1">
      <c r="A34" s="3" t="s">
        <v>173</v>
      </c>
      <c r="B34" s="3" t="s">
        <v>200</v>
      </c>
      <c r="C34" s="11" t="s">
        <v>201</v>
      </c>
      <c r="D34" s="11" t="s">
        <v>258</v>
      </c>
      <c r="E34" s="12">
        <v>13.3</v>
      </c>
      <c r="F34" s="14">
        <v>46156</v>
      </c>
      <c r="G34" s="15">
        <v>0.76666666666666672</v>
      </c>
      <c r="H34" s="5"/>
      <c r="I34" s="5"/>
      <c r="J34" s="14">
        <v>46157</v>
      </c>
      <c r="K34" s="15">
        <v>0.15972222222222221</v>
      </c>
      <c r="L34" s="44">
        <f>((J34+K34)-(F34+G34))*24</f>
        <v>9.4333333331742324</v>
      </c>
      <c r="M34" s="3" t="s">
        <v>259</v>
      </c>
      <c r="N34" s="11" t="s">
        <v>60</v>
      </c>
      <c r="O34"/>
      <c r="P34" s="28">
        <v>14</v>
      </c>
      <c r="Q34" s="28">
        <v>11.6</v>
      </c>
      <c r="R34" s="28">
        <f>Q34-P34</f>
        <v>-2.4000000000000004</v>
      </c>
      <c r="S34"/>
      <c r="T34" s="28" t="s">
        <v>36</v>
      </c>
      <c r="U34" s="28" t="s">
        <v>36</v>
      </c>
      <c r="V34" s="28" t="s">
        <v>36</v>
      </c>
      <c r="W34" s="28" t="s">
        <v>36</v>
      </c>
      <c r="X34"/>
      <c r="Y34" s="149" t="s">
        <v>204</v>
      </c>
      <c r="Z34"/>
      <c r="AA34"/>
      <c r="AB34"/>
      <c r="AC34"/>
    </row>
    <row r="35" spans="1:29" s="25" customFormat="1" ht="60" customHeight="1">
      <c r="A35" s="3" t="s">
        <v>173</v>
      </c>
      <c r="B35" s="3" t="s">
        <v>200</v>
      </c>
      <c r="C35" s="11" t="s">
        <v>216</v>
      </c>
      <c r="D35" s="11" t="s">
        <v>68</v>
      </c>
      <c r="E35" s="12">
        <v>5.52</v>
      </c>
      <c r="F35" s="14">
        <v>46156</v>
      </c>
      <c r="G35" s="15">
        <v>0.54236111111111107</v>
      </c>
      <c r="H35" s="5"/>
      <c r="I35" s="5"/>
      <c r="J35" s="14">
        <v>46156</v>
      </c>
      <c r="K35" s="15">
        <v>0.63888888888888884</v>
      </c>
      <c r="L35" s="44">
        <f>((J35+K35)-(F35+G35))*24</f>
        <v>2.3166666667093523</v>
      </c>
      <c r="M35" s="3" t="s">
        <v>260</v>
      </c>
      <c r="N35" s="11" t="s">
        <v>60</v>
      </c>
      <c r="O35"/>
      <c r="P35" s="60">
        <v>14</v>
      </c>
      <c r="Q35" s="135">
        <v>3.3534722222175333</v>
      </c>
      <c r="R35" s="64">
        <f>Q35-P35</f>
        <v>-10.646527777782467</v>
      </c>
      <c r="S35"/>
      <c r="T35" s="28" t="s">
        <v>218</v>
      </c>
      <c r="U35" s="28" t="s">
        <v>219</v>
      </c>
      <c r="V35" s="28" t="s">
        <v>36</v>
      </c>
      <c r="W35" s="28" t="s">
        <v>36</v>
      </c>
      <c r="X35"/>
      <c r="Y35" s="159"/>
      <c r="Z35"/>
      <c r="AA35"/>
      <c r="AB35"/>
      <c r="AC35"/>
    </row>
    <row r="36" spans="1:29" s="25" customFormat="1" ht="60" customHeight="1">
      <c r="A36" s="3" t="s">
        <v>173</v>
      </c>
      <c r="B36" s="3" t="s">
        <v>261</v>
      </c>
      <c r="C36" s="11" t="s">
        <v>262</v>
      </c>
      <c r="D36" s="11" t="s">
        <v>40</v>
      </c>
      <c r="E36" s="12">
        <v>8</v>
      </c>
      <c r="F36" s="14">
        <v>46156</v>
      </c>
      <c r="G36" s="15">
        <v>0.53888888888888886</v>
      </c>
      <c r="H36" s="6"/>
      <c r="I36" s="5"/>
      <c r="J36" s="14">
        <v>46157</v>
      </c>
      <c r="K36" s="15">
        <v>0.51041666666666663</v>
      </c>
      <c r="L36" s="44">
        <f>((J36+K36)-(F36+G36))*24</f>
        <v>23.316666666534729</v>
      </c>
      <c r="M36" s="3" t="s">
        <v>263</v>
      </c>
      <c r="N36" s="11" t="s">
        <v>60</v>
      </c>
      <c r="O36"/>
      <c r="P36" s="136">
        <v>14</v>
      </c>
      <c r="Q36" s="137">
        <v>1.2104166670000001</v>
      </c>
      <c r="R36" s="64">
        <f>Q36-P36</f>
        <v>-12.789583332999999</v>
      </c>
      <c r="S36"/>
      <c r="T36" s="28" t="s">
        <v>36</v>
      </c>
      <c r="U36" s="28" t="s">
        <v>36</v>
      </c>
      <c r="V36" s="28" t="s">
        <v>36</v>
      </c>
      <c r="W36" s="28" t="s">
        <v>36</v>
      </c>
      <c r="X36"/>
      <c r="Y36" s="159"/>
      <c r="Z36"/>
      <c r="AA36"/>
      <c r="AB36"/>
      <c r="AC36"/>
    </row>
    <row r="37" spans="1:29" s="25" customFormat="1" ht="60" customHeight="1">
      <c r="A37" s="3" t="s">
        <v>173</v>
      </c>
      <c r="B37" s="3" t="s">
        <v>200</v>
      </c>
      <c r="C37" s="11" t="s">
        <v>201</v>
      </c>
      <c r="D37" s="11" t="s">
        <v>202</v>
      </c>
      <c r="E37" s="12">
        <v>15</v>
      </c>
      <c r="F37" s="14">
        <v>46156</v>
      </c>
      <c r="G37" s="15">
        <v>0.36666666666666664</v>
      </c>
      <c r="H37" s="6"/>
      <c r="I37" s="5"/>
      <c r="J37" s="14">
        <v>46156</v>
      </c>
      <c r="K37" s="15">
        <v>0.67361111111111116</v>
      </c>
      <c r="L37" s="44">
        <f>((J37+K37)-(F37+G37))*24</f>
        <v>7.3666666665812954</v>
      </c>
      <c r="M37" s="3" t="s">
        <v>264</v>
      </c>
      <c r="N37" s="11" t="s">
        <v>60</v>
      </c>
      <c r="O37"/>
      <c r="P37" s="28" t="s">
        <v>33</v>
      </c>
      <c r="Q37" s="28" t="s">
        <v>33</v>
      </c>
      <c r="R37" s="28" t="s">
        <v>33</v>
      </c>
      <c r="S37"/>
      <c r="T37" s="28" t="s">
        <v>36</v>
      </c>
      <c r="U37" s="28" t="s">
        <v>36</v>
      </c>
      <c r="V37" s="28" t="s">
        <v>36</v>
      </c>
      <c r="W37" s="28" t="s">
        <v>36</v>
      </c>
      <c r="X37"/>
      <c r="Y37" s="176"/>
      <c r="Z37"/>
      <c r="AA37"/>
      <c r="AB37"/>
      <c r="AC37"/>
    </row>
    <row r="38" spans="1:29" s="25" customFormat="1" ht="60" customHeight="1">
      <c r="A38" s="3" t="s">
        <v>173</v>
      </c>
      <c r="B38" s="3" t="s">
        <v>228</v>
      </c>
      <c r="C38" s="11" t="s">
        <v>265</v>
      </c>
      <c r="D38" s="11" t="s">
        <v>68</v>
      </c>
      <c r="E38" s="12">
        <v>37.5</v>
      </c>
      <c r="F38" s="14">
        <v>46156</v>
      </c>
      <c r="G38" s="15">
        <v>8.9583333333333334E-2</v>
      </c>
      <c r="H38" s="5"/>
      <c r="I38" s="5"/>
      <c r="J38" s="14">
        <v>46157</v>
      </c>
      <c r="K38" s="15">
        <v>5.5555555555555552E-2</v>
      </c>
      <c r="L38" s="44">
        <f>((J38+K38)-(F38+G38))*24</f>
        <v>23.183333333290648</v>
      </c>
      <c r="M38" s="3" t="s">
        <v>266</v>
      </c>
      <c r="N38" s="11" t="s">
        <v>102</v>
      </c>
      <c r="O38"/>
      <c r="P38" s="28">
        <v>13.7</v>
      </c>
      <c r="Q38" s="28">
        <v>17.95</v>
      </c>
      <c r="R38" s="139">
        <f>Q38-P38</f>
        <v>4.25</v>
      </c>
      <c r="S38"/>
      <c r="T38" s="27" t="s">
        <v>231</v>
      </c>
      <c r="U38" s="27" t="s">
        <v>232</v>
      </c>
      <c r="V38" s="28" t="s">
        <v>36</v>
      </c>
      <c r="W38" s="28" t="s">
        <v>36</v>
      </c>
      <c r="X38"/>
      <c r="Y38" s="149" t="s">
        <v>53</v>
      </c>
      <c r="Z38"/>
      <c r="AA38"/>
      <c r="AB38"/>
      <c r="AC38"/>
    </row>
    <row r="39" spans="1:29" s="25" customFormat="1" ht="107.25" customHeight="1">
      <c r="A39" s="3" t="s">
        <v>173</v>
      </c>
      <c r="B39" s="3" t="s">
        <v>267</v>
      </c>
      <c r="C39" s="11" t="s">
        <v>268</v>
      </c>
      <c r="D39" s="11" t="s">
        <v>32</v>
      </c>
      <c r="E39" s="12">
        <v>16</v>
      </c>
      <c r="F39" s="14">
        <v>46156</v>
      </c>
      <c r="G39" s="15">
        <v>4.8611111111111112E-3</v>
      </c>
      <c r="H39" s="5"/>
      <c r="I39" s="5"/>
      <c r="J39" s="14">
        <v>46157</v>
      </c>
      <c r="K39" s="15">
        <v>7.013888888888889E-2</v>
      </c>
      <c r="L39" s="44">
        <f>((J39+K39)-(F39+G39))*24</f>
        <v>25.566666666709352</v>
      </c>
      <c r="M39" s="3" t="s">
        <v>269</v>
      </c>
      <c r="N39" s="11" t="s">
        <v>102</v>
      </c>
      <c r="O39"/>
      <c r="P39" s="28">
        <v>13.7</v>
      </c>
      <c r="Q39" s="28">
        <v>44.36</v>
      </c>
      <c r="R39" s="70">
        <f>Q39-P39</f>
        <v>30.66</v>
      </c>
      <c r="S39"/>
      <c r="T39" s="27" t="s">
        <v>270</v>
      </c>
      <c r="U39" s="27" t="s">
        <v>271</v>
      </c>
      <c r="V39" s="28" t="s">
        <v>36</v>
      </c>
      <c r="W39" s="28" t="s">
        <v>36</v>
      </c>
      <c r="X39"/>
      <c r="Y39" s="156"/>
      <c r="Z39"/>
      <c r="AA39"/>
      <c r="AB39"/>
      <c r="AC39"/>
    </row>
    <row r="40" spans="1:29" s="25" customFormat="1" ht="60" customHeight="1">
      <c r="A40" s="3" t="s">
        <v>173</v>
      </c>
      <c r="B40" s="3" t="s">
        <v>209</v>
      </c>
      <c r="C40" s="11" t="s">
        <v>210</v>
      </c>
      <c r="D40" s="11" t="s">
        <v>76</v>
      </c>
      <c r="E40" s="12">
        <v>7.0590000000000002</v>
      </c>
      <c r="F40" s="14">
        <v>46155</v>
      </c>
      <c r="G40" s="15">
        <v>0.57430555555555551</v>
      </c>
      <c r="H40" s="30"/>
      <c r="I40" s="5"/>
      <c r="J40" s="14">
        <v>46155</v>
      </c>
      <c r="K40" s="15">
        <v>0.61527777777777781</v>
      </c>
      <c r="L40" s="44">
        <f>((J40+K40)-(F40+G40))*24</f>
        <v>0.98333333322079852</v>
      </c>
      <c r="M40" s="3" t="s">
        <v>272</v>
      </c>
      <c r="N40" s="11" t="s">
        <v>60</v>
      </c>
      <c r="O40"/>
      <c r="P40" s="28">
        <v>14</v>
      </c>
      <c r="Q40" s="64">
        <f>24.2999999997555/24</f>
        <v>1.0124999999898125</v>
      </c>
      <c r="R40" s="64">
        <f>Q40-P40</f>
        <v>-12.987500000010188</v>
      </c>
      <c r="S40"/>
      <c r="T40" s="28" t="s">
        <v>213</v>
      </c>
      <c r="U40" s="28" t="s">
        <v>214</v>
      </c>
      <c r="V40" s="28" t="s">
        <v>36</v>
      </c>
      <c r="W40" s="28" t="s">
        <v>36</v>
      </c>
      <c r="X40"/>
      <c r="Y40" s="149" t="s">
        <v>215</v>
      </c>
      <c r="Z40"/>
      <c r="AA40"/>
      <c r="AB40"/>
      <c r="AC40"/>
    </row>
    <row r="41" spans="1:29" s="25" customFormat="1" ht="60" customHeight="1">
      <c r="A41" s="3" t="s">
        <v>173</v>
      </c>
      <c r="B41" s="3" t="s">
        <v>209</v>
      </c>
      <c r="C41" s="11" t="s">
        <v>210</v>
      </c>
      <c r="D41" s="11" t="s">
        <v>76</v>
      </c>
      <c r="E41" s="12">
        <v>7.0590000000000002</v>
      </c>
      <c r="F41" s="14">
        <v>46155</v>
      </c>
      <c r="G41" s="15">
        <v>0.53819444444444442</v>
      </c>
      <c r="H41" s="30"/>
      <c r="I41" s="5"/>
      <c r="J41" s="14">
        <v>46155</v>
      </c>
      <c r="K41" s="15">
        <v>0.55138888888888893</v>
      </c>
      <c r="L41" s="44">
        <f>((J41+K41)-(F41+G41))*24</f>
        <v>0.31666666665114462</v>
      </c>
      <c r="M41" s="3" t="s">
        <v>273</v>
      </c>
      <c r="N41" s="11" t="s">
        <v>60</v>
      </c>
      <c r="O41"/>
      <c r="P41" s="28">
        <v>14</v>
      </c>
      <c r="Q41" s="64">
        <f>24.2999999997555/24</f>
        <v>1.0124999999898125</v>
      </c>
      <c r="R41" s="64">
        <f>Q41-P41</f>
        <v>-12.987500000010188</v>
      </c>
      <c r="S41"/>
      <c r="T41" s="28" t="s">
        <v>213</v>
      </c>
      <c r="U41" s="28" t="s">
        <v>214</v>
      </c>
      <c r="V41" s="28" t="s">
        <v>36</v>
      </c>
      <c r="W41" s="28" t="s">
        <v>36</v>
      </c>
      <c r="X41"/>
      <c r="Y41" s="176"/>
      <c r="Z41"/>
      <c r="AA41"/>
      <c r="AB41"/>
      <c r="AC41"/>
    </row>
    <row r="42" spans="1:29" s="25" customFormat="1" ht="60" customHeight="1">
      <c r="A42" s="3" t="s">
        <v>173</v>
      </c>
      <c r="B42" s="3" t="s">
        <v>200</v>
      </c>
      <c r="C42" s="11" t="s">
        <v>216</v>
      </c>
      <c r="D42" s="11" t="s">
        <v>32</v>
      </c>
      <c r="E42" s="12">
        <v>5.52</v>
      </c>
      <c r="F42" s="14">
        <v>46155</v>
      </c>
      <c r="G42" s="15">
        <v>0.49027777777777776</v>
      </c>
      <c r="H42" s="5"/>
      <c r="I42" s="5"/>
      <c r="J42" s="14">
        <v>46159</v>
      </c>
      <c r="K42" s="15">
        <v>0.71875</v>
      </c>
      <c r="L42" s="44">
        <f>((J42+K42)-(F42+G42))*24</f>
        <v>101.48333333339542</v>
      </c>
      <c r="M42" s="3" t="s">
        <v>274</v>
      </c>
      <c r="N42" s="11" t="s">
        <v>60</v>
      </c>
      <c r="O42"/>
      <c r="P42" s="60">
        <v>14</v>
      </c>
      <c r="Q42" s="64">
        <v>2.03125</v>
      </c>
      <c r="R42" s="64">
        <f>Q42-P42</f>
        <v>-11.96875</v>
      </c>
      <c r="S42"/>
      <c r="T42" s="28" t="s">
        <v>218</v>
      </c>
      <c r="U42" s="28" t="s">
        <v>219</v>
      </c>
      <c r="V42" s="28" t="s">
        <v>36</v>
      </c>
      <c r="W42" s="28" t="s">
        <v>36</v>
      </c>
      <c r="X42"/>
      <c r="Y42" s="74" t="s">
        <v>204</v>
      </c>
      <c r="Z42"/>
      <c r="AA42"/>
      <c r="AB42"/>
      <c r="AC42"/>
    </row>
    <row r="43" spans="1:29" s="25" customFormat="1" ht="60" customHeight="1">
      <c r="A43" s="3" t="s">
        <v>173</v>
      </c>
      <c r="B43" s="3" t="s">
        <v>220</v>
      </c>
      <c r="C43" s="11" t="s">
        <v>221</v>
      </c>
      <c r="D43" s="11" t="s">
        <v>40</v>
      </c>
      <c r="E43" s="12">
        <v>3.6</v>
      </c>
      <c r="F43" s="14">
        <v>46155</v>
      </c>
      <c r="G43" s="15">
        <v>0.45833333333333331</v>
      </c>
      <c r="H43" s="5"/>
      <c r="I43" s="5"/>
      <c r="J43" s="14">
        <v>46156</v>
      </c>
      <c r="K43" s="15">
        <v>0.79166666666666663</v>
      </c>
      <c r="L43" s="44">
        <f>((J43+K43)-(F43+G43))*24</f>
        <v>31.999999999883585</v>
      </c>
      <c r="M43" s="2" t="s">
        <v>222</v>
      </c>
      <c r="N43" s="11" t="s">
        <v>42</v>
      </c>
      <c r="O43"/>
      <c r="P43" s="28" t="s">
        <v>33</v>
      </c>
      <c r="Q43" s="28" t="s">
        <v>33</v>
      </c>
      <c r="R43" s="28" t="s">
        <v>33</v>
      </c>
      <c r="S43"/>
      <c r="T43" s="28" t="s">
        <v>223</v>
      </c>
      <c r="U43" s="28" t="s">
        <v>224</v>
      </c>
      <c r="V43" s="28" t="s">
        <v>36</v>
      </c>
      <c r="W43" s="28" t="s">
        <v>36</v>
      </c>
      <c r="X43"/>
      <c r="Y43" s="74" t="s">
        <v>225</v>
      </c>
      <c r="Z43"/>
      <c r="AA43"/>
      <c r="AB43"/>
      <c r="AC43"/>
    </row>
    <row r="44" spans="1:29" ht="60" customHeight="1">
      <c r="A44" s="3" t="s">
        <v>173</v>
      </c>
      <c r="B44" s="11" t="s">
        <v>275</v>
      </c>
      <c r="C44" s="11" t="s">
        <v>276</v>
      </c>
      <c r="D44" s="11" t="s">
        <v>76</v>
      </c>
      <c r="E44" s="12">
        <v>5</v>
      </c>
      <c r="F44" s="10">
        <v>46154</v>
      </c>
      <c r="G44" s="5">
        <v>0.75347222222222221</v>
      </c>
      <c r="H44" s="14">
        <v>46156</v>
      </c>
      <c r="I44" s="7">
        <v>0.58333333333333337</v>
      </c>
      <c r="J44" s="10">
        <v>46156</v>
      </c>
      <c r="K44" s="5">
        <v>0.58333333333333337</v>
      </c>
      <c r="L44" s="44">
        <f>((J44+K44)-(F44+G44))*24</f>
        <v>43.916666666802485</v>
      </c>
      <c r="M44" s="3" t="s">
        <v>277</v>
      </c>
      <c r="N44" s="11" t="s">
        <v>60</v>
      </c>
      <c r="P44" s="28">
        <v>14</v>
      </c>
      <c r="Q44" s="28">
        <v>4.53</v>
      </c>
      <c r="R44" s="69">
        <f>Q44-P44</f>
        <v>-9.4699999999999989</v>
      </c>
      <c r="T44" s="28" t="s">
        <v>36</v>
      </c>
      <c r="U44" s="28" t="s">
        <v>36</v>
      </c>
      <c r="V44" s="28" t="s">
        <v>36</v>
      </c>
      <c r="W44" s="28" t="s">
        <v>36</v>
      </c>
      <c r="Y44" s="74" t="s">
        <v>199</v>
      </c>
    </row>
    <row r="45" spans="1:29" s="25" customFormat="1" ht="72" customHeight="1">
      <c r="A45" s="3" t="s">
        <v>173</v>
      </c>
      <c r="B45" s="3" t="s">
        <v>278</v>
      </c>
      <c r="C45" s="11" t="s">
        <v>279</v>
      </c>
      <c r="D45" s="11" t="s">
        <v>32</v>
      </c>
      <c r="E45" s="12">
        <v>176.97</v>
      </c>
      <c r="F45" s="14">
        <v>46154</v>
      </c>
      <c r="G45" s="15">
        <v>0.67777777777777781</v>
      </c>
      <c r="H45" s="14">
        <v>46264</v>
      </c>
      <c r="I45" s="5">
        <v>0.99930555555555556</v>
      </c>
      <c r="J45" s="14"/>
      <c r="K45" s="15"/>
      <c r="L45" s="44" t="s">
        <v>33</v>
      </c>
      <c r="M45" s="3" t="s">
        <v>280</v>
      </c>
      <c r="N45" s="11" t="s">
        <v>96</v>
      </c>
      <c r="O45"/>
      <c r="P45" s="28">
        <v>16.899999999999999</v>
      </c>
      <c r="Q45" s="28">
        <v>39.200000000000003</v>
      </c>
      <c r="R45" s="70">
        <f>Q45-P45</f>
        <v>22.300000000000004</v>
      </c>
      <c r="S45"/>
      <c r="T45" s="27" t="s">
        <v>281</v>
      </c>
      <c r="U45" s="27" t="s">
        <v>282</v>
      </c>
      <c r="V45" s="28" t="s">
        <v>36</v>
      </c>
      <c r="W45" s="28" t="s">
        <v>36</v>
      </c>
      <c r="X45"/>
      <c r="Y45" s="74" t="s">
        <v>43</v>
      </c>
      <c r="Z45"/>
      <c r="AA45"/>
      <c r="AB45"/>
      <c r="AC45"/>
    </row>
    <row r="46" spans="1:29" s="25" customFormat="1" ht="60" customHeight="1">
      <c r="A46" s="3" t="s">
        <v>173</v>
      </c>
      <c r="B46" s="3" t="s">
        <v>209</v>
      </c>
      <c r="C46" s="11" t="s">
        <v>210</v>
      </c>
      <c r="D46" s="11" t="s">
        <v>81</v>
      </c>
      <c r="E46" s="12">
        <v>7.0590000000000002</v>
      </c>
      <c r="F46" s="14">
        <v>46154</v>
      </c>
      <c r="G46" s="15">
        <v>0.625</v>
      </c>
      <c r="H46" s="5"/>
      <c r="I46" s="5"/>
      <c r="J46" s="14">
        <v>46154</v>
      </c>
      <c r="K46" s="15">
        <v>0.65625</v>
      </c>
      <c r="L46" s="44">
        <f>((J46+K46)-(F46+G46))*24</f>
        <v>0.75</v>
      </c>
      <c r="M46" s="3" t="s">
        <v>257</v>
      </c>
      <c r="N46" s="11" t="s">
        <v>60</v>
      </c>
      <c r="O46"/>
      <c r="P46" s="28">
        <v>14</v>
      </c>
      <c r="Q46" s="64">
        <f>582.449999998498/24</f>
        <v>24.268749999937416</v>
      </c>
      <c r="R46" s="64">
        <f>Q46-P46</f>
        <v>10.268749999937416</v>
      </c>
      <c r="S46"/>
      <c r="T46" s="28" t="s">
        <v>213</v>
      </c>
      <c r="U46" s="28" t="s">
        <v>214</v>
      </c>
      <c r="V46" s="28" t="s">
        <v>36</v>
      </c>
      <c r="W46" s="28" t="s">
        <v>36</v>
      </c>
      <c r="X46"/>
      <c r="Y46" s="74" t="s">
        <v>215</v>
      </c>
      <c r="Z46"/>
      <c r="AA46"/>
      <c r="AB46"/>
      <c r="AC46"/>
    </row>
    <row r="47" spans="1:29" s="25" customFormat="1" ht="60" customHeight="1">
      <c r="A47" s="3" t="s">
        <v>173</v>
      </c>
      <c r="B47" s="3" t="s">
        <v>178</v>
      </c>
      <c r="C47" s="11" t="s">
        <v>179</v>
      </c>
      <c r="D47" s="11" t="s">
        <v>32</v>
      </c>
      <c r="E47" s="12">
        <v>5</v>
      </c>
      <c r="F47" s="14">
        <v>46154</v>
      </c>
      <c r="G47" s="15">
        <v>0.53541666666666665</v>
      </c>
      <c r="H47" s="5"/>
      <c r="I47" s="5"/>
      <c r="J47" s="14">
        <v>46154</v>
      </c>
      <c r="K47" s="15">
        <v>0.59791666666666665</v>
      </c>
      <c r="L47" s="44">
        <f>((J47+K47)-(F47+G47))*24</f>
        <v>1.5</v>
      </c>
      <c r="M47" s="3" t="s">
        <v>283</v>
      </c>
      <c r="N47" s="11" t="s">
        <v>60</v>
      </c>
      <c r="O47"/>
      <c r="P47" s="138">
        <v>14</v>
      </c>
      <c r="Q47" s="64">
        <f>72.4333333329996/24</f>
        <v>3.0180555555416499</v>
      </c>
      <c r="R47" s="64">
        <f>Q47-P47</f>
        <v>-10.98194444445835</v>
      </c>
      <c r="S47"/>
      <c r="T47" s="28" t="s">
        <v>237</v>
      </c>
      <c r="U47" s="28" t="s">
        <v>238</v>
      </c>
      <c r="V47" s="28" t="s">
        <v>36</v>
      </c>
      <c r="W47" s="28" t="s">
        <v>36</v>
      </c>
      <c r="X47"/>
      <c r="Y47" s="74" t="s">
        <v>182</v>
      </c>
      <c r="Z47"/>
      <c r="AA47"/>
      <c r="AB47"/>
      <c r="AC47"/>
    </row>
    <row r="48" spans="1:29" s="25" customFormat="1" ht="60" customHeight="1">
      <c r="A48" s="3" t="s">
        <v>173</v>
      </c>
      <c r="B48" s="3" t="s">
        <v>220</v>
      </c>
      <c r="C48" s="11" t="s">
        <v>221</v>
      </c>
      <c r="D48" s="11" t="s">
        <v>40</v>
      </c>
      <c r="E48" s="12">
        <v>3.6</v>
      </c>
      <c r="F48" s="14">
        <v>46154</v>
      </c>
      <c r="G48" s="15">
        <v>4.1666666666666664E-2</v>
      </c>
      <c r="H48" s="5"/>
      <c r="I48" s="5"/>
      <c r="J48" s="14">
        <v>46155</v>
      </c>
      <c r="K48" s="15">
        <v>0.33333333333333331</v>
      </c>
      <c r="L48" s="44">
        <f>((J48+K48)-(F48+G48))*24</f>
        <v>31.000000000116415</v>
      </c>
      <c r="M48" s="2" t="s">
        <v>222</v>
      </c>
      <c r="N48" s="11" t="s">
        <v>42</v>
      </c>
      <c r="O48"/>
      <c r="P48" s="28" t="s">
        <v>33</v>
      </c>
      <c r="Q48" s="28" t="s">
        <v>33</v>
      </c>
      <c r="R48" s="28" t="s">
        <v>33</v>
      </c>
      <c r="S48"/>
      <c r="T48" s="28" t="s">
        <v>223</v>
      </c>
      <c r="U48" s="28" t="s">
        <v>224</v>
      </c>
      <c r="V48" s="28" t="s">
        <v>36</v>
      </c>
      <c r="W48" s="28" t="s">
        <v>36</v>
      </c>
      <c r="X48"/>
      <c r="Y48" s="74" t="s">
        <v>225</v>
      </c>
      <c r="Z48"/>
      <c r="AA48"/>
      <c r="AB48"/>
      <c r="AC48"/>
    </row>
    <row r="49" spans="1:29" s="25" customFormat="1" ht="60" customHeight="1">
      <c r="A49" s="3" t="s">
        <v>173</v>
      </c>
      <c r="B49" s="3" t="s">
        <v>183</v>
      </c>
      <c r="C49" s="11" t="s">
        <v>184</v>
      </c>
      <c r="D49" s="11" t="s">
        <v>32</v>
      </c>
      <c r="E49" s="12">
        <v>21.76</v>
      </c>
      <c r="F49" s="14">
        <v>46154</v>
      </c>
      <c r="G49" s="15">
        <v>0</v>
      </c>
      <c r="H49" s="5"/>
      <c r="I49" s="5"/>
      <c r="J49" s="14">
        <v>46155</v>
      </c>
      <c r="K49" s="15">
        <v>0.77638888888888891</v>
      </c>
      <c r="L49" s="44">
        <f>((J49+K49)-(F49+G49))*24</f>
        <v>42.633333333302289</v>
      </c>
      <c r="M49" s="3" t="s">
        <v>284</v>
      </c>
      <c r="N49" s="11" t="s">
        <v>35</v>
      </c>
      <c r="O49"/>
      <c r="P49" s="28" t="s">
        <v>33</v>
      </c>
      <c r="Q49" s="28" t="s">
        <v>33</v>
      </c>
      <c r="R49" s="28" t="s">
        <v>33</v>
      </c>
      <c r="S49"/>
      <c r="T49" s="27" t="s">
        <v>249</v>
      </c>
      <c r="U49" s="28" t="s">
        <v>250</v>
      </c>
      <c r="V49" s="28" t="s">
        <v>36</v>
      </c>
      <c r="W49" s="28" t="s">
        <v>36</v>
      </c>
      <c r="X49"/>
      <c r="Y49" s="75" t="s">
        <v>186</v>
      </c>
      <c r="Z49"/>
      <c r="AA49"/>
      <c r="AB49"/>
      <c r="AC49"/>
    </row>
    <row r="50" spans="1:29" s="25" customFormat="1" ht="60" customHeight="1">
      <c r="A50" s="3" t="s">
        <v>173</v>
      </c>
      <c r="B50" s="3" t="s">
        <v>261</v>
      </c>
      <c r="C50" s="3" t="s">
        <v>262</v>
      </c>
      <c r="D50" s="3" t="s">
        <v>68</v>
      </c>
      <c r="E50" s="4">
        <v>8</v>
      </c>
      <c r="F50" s="10">
        <v>46153</v>
      </c>
      <c r="G50" s="5">
        <v>0.77777777777777779</v>
      </c>
      <c r="H50" s="10">
        <v>46163</v>
      </c>
      <c r="I50" s="31">
        <v>0.99930555555555556</v>
      </c>
      <c r="J50" s="14"/>
      <c r="K50" s="15"/>
      <c r="L50" s="44" t="s">
        <v>33</v>
      </c>
      <c r="M50" s="3" t="s">
        <v>285</v>
      </c>
      <c r="N50" s="11" t="s">
        <v>60</v>
      </c>
      <c r="O50"/>
      <c r="P50" s="60">
        <v>14</v>
      </c>
      <c r="Q50" s="64">
        <v>7.6270833333182964</v>
      </c>
      <c r="R50" s="64">
        <f>Q50-P50</f>
        <v>-6.3729166666817036</v>
      </c>
      <c r="S50"/>
      <c r="T50" s="28" t="s">
        <v>36</v>
      </c>
      <c r="U50" s="28" t="s">
        <v>36</v>
      </c>
      <c r="V50" s="28" t="s">
        <v>36</v>
      </c>
      <c r="W50" s="28" t="s">
        <v>36</v>
      </c>
      <c r="X50"/>
      <c r="Y50" s="74" t="s">
        <v>204</v>
      </c>
      <c r="Z50"/>
      <c r="AA50"/>
      <c r="AB50"/>
      <c r="AC50"/>
    </row>
    <row r="51" spans="1:29" s="25" customFormat="1" ht="60" customHeight="1">
      <c r="A51" s="3" t="s">
        <v>173</v>
      </c>
      <c r="B51" s="3" t="s">
        <v>194</v>
      </c>
      <c r="C51" s="3" t="s">
        <v>195</v>
      </c>
      <c r="D51" s="3" t="s">
        <v>68</v>
      </c>
      <c r="E51" s="4">
        <v>150.02500000000001</v>
      </c>
      <c r="F51" s="10">
        <v>46148</v>
      </c>
      <c r="G51" s="5">
        <v>0.67708333333333337</v>
      </c>
      <c r="H51" s="15" t="s">
        <v>36</v>
      </c>
      <c r="I51" s="31" t="s">
        <v>36</v>
      </c>
      <c r="J51" s="14"/>
      <c r="K51" s="15"/>
      <c r="L51" s="44" t="s">
        <v>33</v>
      </c>
      <c r="M51" s="3" t="s">
        <v>286</v>
      </c>
      <c r="N51" s="11" t="s">
        <v>96</v>
      </c>
      <c r="O51"/>
      <c r="P51" s="28">
        <v>16.899999999999999</v>
      </c>
      <c r="Q51" s="28">
        <f>466.499999999651/24</f>
        <v>19.437499999985459</v>
      </c>
      <c r="R51" s="64">
        <f>Q51-P51</f>
        <v>2.5374999999854602</v>
      </c>
      <c r="S51"/>
      <c r="T51" s="27" t="s">
        <v>197</v>
      </c>
      <c r="U51" s="27" t="s">
        <v>198</v>
      </c>
      <c r="V51" s="28" t="s">
        <v>36</v>
      </c>
      <c r="W51" s="28" t="s">
        <v>36</v>
      </c>
      <c r="X51"/>
      <c r="Y51" s="74" t="s">
        <v>199</v>
      </c>
      <c r="Z51"/>
      <c r="AA51"/>
      <c r="AB51"/>
      <c r="AC51"/>
    </row>
    <row r="52" spans="1:29" s="25" customFormat="1" ht="60" customHeight="1">
      <c r="A52" s="11" t="s">
        <v>173</v>
      </c>
      <c r="B52" s="11" t="s">
        <v>174</v>
      </c>
      <c r="C52" s="11" t="s">
        <v>175</v>
      </c>
      <c r="D52" s="11" t="s">
        <v>40</v>
      </c>
      <c r="E52" s="12">
        <v>8</v>
      </c>
      <c r="F52" s="14">
        <v>46148</v>
      </c>
      <c r="G52" s="15">
        <v>0.50416666666666665</v>
      </c>
      <c r="H52" s="15"/>
      <c r="I52" s="15"/>
      <c r="J52" s="14">
        <v>46161</v>
      </c>
      <c r="K52" s="15">
        <v>0.43680555555555556</v>
      </c>
      <c r="L52" s="44">
        <f>((J52+K52)-(F52+G52))*24</f>
        <v>310.38333333330229</v>
      </c>
      <c r="M52" s="3" t="s">
        <v>287</v>
      </c>
      <c r="N52" s="3" t="s">
        <v>35</v>
      </c>
      <c r="O52"/>
      <c r="P52" s="28">
        <v>7</v>
      </c>
      <c r="Q52" s="64">
        <f>1586.44999999978/24</f>
        <v>66.10208333332416</v>
      </c>
      <c r="R52" s="64">
        <f>Q52-P52</f>
        <v>59.10208333332416</v>
      </c>
      <c r="S52"/>
      <c r="T52" s="28" t="s">
        <v>36</v>
      </c>
      <c r="U52" s="28" t="s">
        <v>36</v>
      </c>
      <c r="V52" s="28" t="s">
        <v>36</v>
      </c>
      <c r="W52" s="28" t="s">
        <v>36</v>
      </c>
      <c r="X52"/>
      <c r="Y52" s="74" t="s">
        <v>177</v>
      </c>
      <c r="Z52"/>
      <c r="AA52"/>
      <c r="AB52"/>
      <c r="AC52"/>
    </row>
    <row r="53" spans="1:29" s="25" customFormat="1" ht="60" customHeight="1">
      <c r="A53" s="11" t="s">
        <v>173</v>
      </c>
      <c r="B53" s="11" t="s">
        <v>288</v>
      </c>
      <c r="C53" s="11" t="s">
        <v>289</v>
      </c>
      <c r="D53" s="11" t="s">
        <v>32</v>
      </c>
      <c r="E53" s="12">
        <v>30</v>
      </c>
      <c r="F53" s="14">
        <v>46139</v>
      </c>
      <c r="G53" s="15">
        <v>0.90277777777777779</v>
      </c>
      <c r="H53" s="15"/>
      <c r="I53" s="15"/>
      <c r="J53" s="14"/>
      <c r="K53" s="15"/>
      <c r="L53" s="44" t="s">
        <v>33</v>
      </c>
      <c r="M53" s="3" t="s">
        <v>290</v>
      </c>
      <c r="N53" s="3" t="s">
        <v>35</v>
      </c>
      <c r="O53"/>
      <c r="P53" s="28" t="s">
        <v>33</v>
      </c>
      <c r="Q53" s="28" t="s">
        <v>33</v>
      </c>
      <c r="R53" s="28" t="s">
        <v>33</v>
      </c>
      <c r="S53"/>
      <c r="T53" s="28" t="s">
        <v>36</v>
      </c>
      <c r="U53" s="28" t="s">
        <v>36</v>
      </c>
      <c r="V53" s="28" t="s">
        <v>36</v>
      </c>
      <c r="W53" s="28" t="s">
        <v>36</v>
      </c>
      <c r="X53"/>
      <c r="Y53" s="75" t="s">
        <v>186</v>
      </c>
      <c r="Z53"/>
      <c r="AA53"/>
      <c r="AB53"/>
      <c r="AC53"/>
    </row>
    <row r="54" spans="1:29" s="25" customFormat="1" ht="89.25" customHeight="1">
      <c r="A54" s="11" t="s">
        <v>173</v>
      </c>
      <c r="B54" s="11" t="s">
        <v>267</v>
      </c>
      <c r="C54" s="11" t="s">
        <v>291</v>
      </c>
      <c r="D54" s="11" t="s">
        <v>68</v>
      </c>
      <c r="E54" s="12">
        <v>37.36</v>
      </c>
      <c r="F54" s="14">
        <v>46139</v>
      </c>
      <c r="G54" s="15">
        <v>0.5708333333333333</v>
      </c>
      <c r="H54" s="15"/>
      <c r="I54" s="15"/>
      <c r="J54" s="14">
        <v>46158</v>
      </c>
      <c r="K54" s="15">
        <v>0.29583333333333334</v>
      </c>
      <c r="L54" s="44">
        <f>((J54+K54)-(F54+G54))*24</f>
        <v>449.39999999996508</v>
      </c>
      <c r="M54" s="11" t="s">
        <v>292</v>
      </c>
      <c r="N54" s="11" t="s">
        <v>102</v>
      </c>
      <c r="O54"/>
      <c r="P54" s="28">
        <v>13.7</v>
      </c>
      <c r="Q54" s="28">
        <v>103.17</v>
      </c>
      <c r="R54" s="139">
        <f t="shared" ref="R54:R66" si="0">Q54-P54</f>
        <v>89.47</v>
      </c>
      <c r="S54"/>
      <c r="T54" s="27" t="s">
        <v>270</v>
      </c>
      <c r="U54" s="27" t="s">
        <v>271</v>
      </c>
      <c r="V54" s="28" t="s">
        <v>36</v>
      </c>
      <c r="W54" s="28" t="s">
        <v>36</v>
      </c>
      <c r="X54"/>
      <c r="Y54" s="149" t="s">
        <v>53</v>
      </c>
      <c r="Z54"/>
      <c r="AA54"/>
      <c r="AB54"/>
      <c r="AC54"/>
    </row>
    <row r="55" spans="1:29" s="25" customFormat="1" ht="93.75" customHeight="1">
      <c r="A55" s="11" t="s">
        <v>173</v>
      </c>
      <c r="B55" s="11" t="s">
        <v>267</v>
      </c>
      <c r="C55" s="11" t="s">
        <v>293</v>
      </c>
      <c r="D55" s="11" t="s">
        <v>32</v>
      </c>
      <c r="E55" s="12">
        <v>7</v>
      </c>
      <c r="F55" s="14">
        <v>46117</v>
      </c>
      <c r="G55" s="15">
        <v>0.6166666666666667</v>
      </c>
      <c r="H55" s="165" t="s">
        <v>46</v>
      </c>
      <c r="I55" s="166"/>
      <c r="J55" s="14"/>
      <c r="K55" s="15"/>
      <c r="L55" s="44" t="s">
        <v>33</v>
      </c>
      <c r="M55" s="11" t="s">
        <v>294</v>
      </c>
      <c r="N55" s="11" t="s">
        <v>102</v>
      </c>
      <c r="O55"/>
      <c r="P55" s="28">
        <v>13.7</v>
      </c>
      <c r="Q55" s="140">
        <v>71.19</v>
      </c>
      <c r="R55" s="28">
        <f>Q55-P55</f>
        <v>57.489999999999995</v>
      </c>
      <c r="S55"/>
      <c r="T55" s="27" t="s">
        <v>270</v>
      </c>
      <c r="U55" s="27" t="s">
        <v>271</v>
      </c>
      <c r="V55" s="28" t="s">
        <v>36</v>
      </c>
      <c r="W55" s="28" t="s">
        <v>36</v>
      </c>
      <c r="X55"/>
      <c r="Y55" s="159"/>
      <c r="Z55"/>
      <c r="AA55"/>
      <c r="AB55"/>
      <c r="AC55"/>
    </row>
    <row r="56" spans="1:29" s="26" customFormat="1" ht="60" customHeight="1">
      <c r="A56" s="11" t="s">
        <v>173</v>
      </c>
      <c r="B56" s="11" t="s">
        <v>267</v>
      </c>
      <c r="C56" s="11" t="s">
        <v>291</v>
      </c>
      <c r="D56" s="11" t="s">
        <v>56</v>
      </c>
      <c r="E56" s="12">
        <v>37.36</v>
      </c>
      <c r="F56" s="62">
        <v>46160</v>
      </c>
      <c r="G56" s="63">
        <v>0.10555555555555556</v>
      </c>
      <c r="H56" s="165" t="s">
        <v>46</v>
      </c>
      <c r="I56" s="166"/>
      <c r="J56" s="14"/>
      <c r="K56" s="15"/>
      <c r="L56" s="44" t="s">
        <v>33</v>
      </c>
      <c r="M56" s="11" t="s">
        <v>295</v>
      </c>
      <c r="N56" s="11" t="s">
        <v>102</v>
      </c>
      <c r="O56" s="141"/>
      <c r="P56" s="28">
        <v>13.7</v>
      </c>
      <c r="Q56" s="140">
        <v>64.87</v>
      </c>
      <c r="R56" s="139">
        <f>Q56-P56</f>
        <v>51.17</v>
      </c>
      <c r="S56" s="141"/>
      <c r="T56" s="27" t="s">
        <v>270</v>
      </c>
      <c r="U56" s="27" t="s">
        <v>271</v>
      </c>
      <c r="V56" s="28" t="s">
        <v>36</v>
      </c>
      <c r="W56" s="28" t="s">
        <v>36</v>
      </c>
      <c r="X56" s="141"/>
      <c r="Y56" s="176"/>
      <c r="Z56" s="141"/>
      <c r="AA56" s="141"/>
      <c r="AB56" s="141"/>
      <c r="AC56" s="141"/>
    </row>
    <row r="57" spans="1:29" s="25" customFormat="1" ht="98.25" customHeight="1">
      <c r="A57" s="11" t="s">
        <v>173</v>
      </c>
      <c r="B57" s="11" t="s">
        <v>278</v>
      </c>
      <c r="C57" s="11" t="s">
        <v>279</v>
      </c>
      <c r="D57" s="11" t="s">
        <v>40</v>
      </c>
      <c r="E57" s="12">
        <v>176.97</v>
      </c>
      <c r="F57" s="14">
        <v>46105</v>
      </c>
      <c r="G57" s="15">
        <v>0.88680555555555551</v>
      </c>
      <c r="H57" s="14">
        <v>46256</v>
      </c>
      <c r="I57" s="15">
        <v>0.99930555555555556</v>
      </c>
      <c r="J57" s="14"/>
      <c r="K57" s="15"/>
      <c r="L57" s="44" t="s">
        <v>33</v>
      </c>
      <c r="M57" s="11" t="s">
        <v>296</v>
      </c>
      <c r="N57" s="11" t="s">
        <v>96</v>
      </c>
      <c r="O57"/>
      <c r="P57" s="28">
        <v>13.7</v>
      </c>
      <c r="Q57" s="140">
        <v>69.989999999999995</v>
      </c>
      <c r="R57" s="139">
        <f t="shared" si="0"/>
        <v>56.289999999999992</v>
      </c>
      <c r="S57"/>
      <c r="T57" s="27" t="s">
        <v>281</v>
      </c>
      <c r="U57" s="27" t="s">
        <v>282</v>
      </c>
      <c r="V57" s="28" t="s">
        <v>36</v>
      </c>
      <c r="W57" s="28" t="s">
        <v>36</v>
      </c>
      <c r="X57"/>
      <c r="Y57" s="74" t="s">
        <v>43</v>
      </c>
      <c r="Z57"/>
      <c r="AA57"/>
      <c r="AB57"/>
      <c r="AC57"/>
    </row>
    <row r="58" spans="1:29" s="25" customFormat="1" ht="60" customHeight="1">
      <c r="A58" s="11" t="s">
        <v>173</v>
      </c>
      <c r="B58" s="11" t="s">
        <v>220</v>
      </c>
      <c r="C58" s="11" t="s">
        <v>221</v>
      </c>
      <c r="D58" s="11" t="s">
        <v>32</v>
      </c>
      <c r="E58" s="12">
        <v>3.6</v>
      </c>
      <c r="F58" s="14">
        <v>46102</v>
      </c>
      <c r="G58" s="15">
        <v>0.54166666666666663</v>
      </c>
      <c r="H58" s="165" t="s">
        <v>46</v>
      </c>
      <c r="I58" s="166"/>
      <c r="J58" s="14"/>
      <c r="K58" s="15"/>
      <c r="L58" s="44" t="s">
        <v>33</v>
      </c>
      <c r="M58" s="16" t="s">
        <v>222</v>
      </c>
      <c r="N58" s="11" t="s">
        <v>42</v>
      </c>
      <c r="O58"/>
      <c r="P58" s="28" t="s">
        <v>33</v>
      </c>
      <c r="Q58" s="28" t="s">
        <v>33</v>
      </c>
      <c r="R58" s="28" t="s">
        <v>33</v>
      </c>
      <c r="S58"/>
      <c r="T58" s="28" t="s">
        <v>223</v>
      </c>
      <c r="U58" s="28" t="s">
        <v>224</v>
      </c>
      <c r="V58" s="28" t="s">
        <v>36</v>
      </c>
      <c r="W58" s="28" t="s">
        <v>36</v>
      </c>
      <c r="X58"/>
      <c r="Y58" s="74" t="s">
        <v>225</v>
      </c>
      <c r="Z58"/>
      <c r="AA58"/>
      <c r="AB58"/>
      <c r="AC58"/>
    </row>
    <row r="59" spans="1:29" s="25" customFormat="1" ht="60" customHeight="1">
      <c r="A59" s="11" t="s">
        <v>173</v>
      </c>
      <c r="B59" s="11" t="s">
        <v>267</v>
      </c>
      <c r="C59" s="11" t="s">
        <v>297</v>
      </c>
      <c r="D59" s="11" t="s">
        <v>56</v>
      </c>
      <c r="E59" s="12">
        <v>24</v>
      </c>
      <c r="F59" s="14">
        <v>45993</v>
      </c>
      <c r="G59" s="15">
        <v>0.74861111111111112</v>
      </c>
      <c r="H59" s="14">
        <v>46175</v>
      </c>
      <c r="I59" s="15">
        <v>1</v>
      </c>
      <c r="J59" s="14"/>
      <c r="K59" s="15"/>
      <c r="L59" s="44" t="s">
        <v>33</v>
      </c>
      <c r="M59" s="11" t="s">
        <v>298</v>
      </c>
      <c r="N59" s="11" t="s">
        <v>102</v>
      </c>
      <c r="O59"/>
      <c r="P59" s="28">
        <v>13.7</v>
      </c>
      <c r="Q59" s="140">
        <v>138</v>
      </c>
      <c r="R59" s="139">
        <f t="shared" si="0"/>
        <v>124.3</v>
      </c>
      <c r="S59"/>
      <c r="T59" s="27" t="s">
        <v>270</v>
      </c>
      <c r="U59" s="27" t="s">
        <v>271</v>
      </c>
      <c r="V59" s="28" t="s">
        <v>36</v>
      </c>
      <c r="W59" s="28" t="s">
        <v>36</v>
      </c>
      <c r="X59"/>
      <c r="Y59" s="74" t="s">
        <v>53</v>
      </c>
      <c r="Z59"/>
      <c r="AA59"/>
      <c r="AB59"/>
      <c r="AC59"/>
    </row>
    <row r="60" spans="1:29" s="25" customFormat="1" ht="60" customHeight="1">
      <c r="A60" s="11" t="s">
        <v>173</v>
      </c>
      <c r="B60" s="11" t="s">
        <v>200</v>
      </c>
      <c r="C60" s="11" t="s">
        <v>246</v>
      </c>
      <c r="D60" s="11" t="s">
        <v>40</v>
      </c>
      <c r="E60" s="12">
        <v>7.44</v>
      </c>
      <c r="F60" s="14">
        <v>45914</v>
      </c>
      <c r="G60" s="15">
        <v>0.42430555555555555</v>
      </c>
      <c r="H60" s="165" t="s">
        <v>46</v>
      </c>
      <c r="I60" s="166"/>
      <c r="J60" s="14"/>
      <c r="K60" s="15"/>
      <c r="L60" s="44" t="s">
        <v>33</v>
      </c>
      <c r="M60" s="11" t="s">
        <v>299</v>
      </c>
      <c r="N60" s="11" t="s">
        <v>60</v>
      </c>
      <c r="O60"/>
      <c r="P60" s="28">
        <v>14</v>
      </c>
      <c r="Q60" s="28">
        <v>139.97999999999999</v>
      </c>
      <c r="R60" s="139">
        <f t="shared" si="0"/>
        <v>125.97999999999999</v>
      </c>
      <c r="S60"/>
      <c r="T60" s="28" t="s">
        <v>36</v>
      </c>
      <c r="U60" s="28" t="s">
        <v>36</v>
      </c>
      <c r="V60" s="28" t="s">
        <v>36</v>
      </c>
      <c r="W60" s="28" t="s">
        <v>36</v>
      </c>
      <c r="X60"/>
      <c r="Y60" s="74" t="s">
        <v>204</v>
      </c>
      <c r="Z60"/>
      <c r="AA60"/>
      <c r="AB60"/>
      <c r="AC60"/>
    </row>
    <row r="61" spans="1:29" s="25" customFormat="1" ht="60" customHeight="1">
      <c r="A61" s="11" t="s">
        <v>173</v>
      </c>
      <c r="B61" s="11" t="s">
        <v>300</v>
      </c>
      <c r="C61" s="11" t="s">
        <v>301</v>
      </c>
      <c r="D61" s="11" t="s">
        <v>40</v>
      </c>
      <c r="E61" s="12">
        <v>0.4</v>
      </c>
      <c r="F61" s="14">
        <v>45887</v>
      </c>
      <c r="G61" s="15">
        <v>0.71388888888888891</v>
      </c>
      <c r="H61" s="165" t="s">
        <v>46</v>
      </c>
      <c r="I61" s="166"/>
      <c r="J61" s="14"/>
      <c r="K61" s="15"/>
      <c r="L61" s="44" t="s">
        <v>33</v>
      </c>
      <c r="M61" s="16" t="s">
        <v>192</v>
      </c>
      <c r="N61" s="11" t="s">
        <v>42</v>
      </c>
      <c r="O61"/>
      <c r="P61" s="28" t="s">
        <v>33</v>
      </c>
      <c r="Q61" s="28" t="s">
        <v>33</v>
      </c>
      <c r="R61" s="28" t="s">
        <v>33</v>
      </c>
      <c r="S61"/>
      <c r="T61" s="28" t="s">
        <v>36</v>
      </c>
      <c r="U61" s="28" t="s">
        <v>36</v>
      </c>
      <c r="V61" s="28" t="s">
        <v>36</v>
      </c>
      <c r="W61" s="28" t="s">
        <v>36</v>
      </c>
      <c r="X61"/>
      <c r="Y61" s="150" t="s">
        <v>302</v>
      </c>
      <c r="Z61"/>
      <c r="AA61"/>
      <c r="AB61"/>
      <c r="AC61"/>
    </row>
    <row r="62" spans="1:29" s="25" customFormat="1" ht="60" customHeight="1">
      <c r="A62" s="11" t="s">
        <v>173</v>
      </c>
      <c r="B62" s="11" t="s">
        <v>300</v>
      </c>
      <c r="C62" s="11" t="s">
        <v>301</v>
      </c>
      <c r="D62" s="11" t="s">
        <v>32</v>
      </c>
      <c r="E62" s="12">
        <v>0.4</v>
      </c>
      <c r="F62" s="14">
        <v>45883</v>
      </c>
      <c r="G62" s="15">
        <v>0.52430555555555558</v>
      </c>
      <c r="H62" s="165" t="s">
        <v>46</v>
      </c>
      <c r="I62" s="166"/>
      <c r="J62" s="14"/>
      <c r="K62" s="15"/>
      <c r="L62" s="44" t="s">
        <v>33</v>
      </c>
      <c r="M62" s="16" t="s">
        <v>192</v>
      </c>
      <c r="N62" s="11" t="s">
        <v>42</v>
      </c>
      <c r="O62"/>
      <c r="P62" s="28" t="s">
        <v>33</v>
      </c>
      <c r="Q62" s="28" t="s">
        <v>33</v>
      </c>
      <c r="R62" s="28" t="s">
        <v>33</v>
      </c>
      <c r="S62"/>
      <c r="T62" s="28" t="s">
        <v>36</v>
      </c>
      <c r="U62" s="28" t="s">
        <v>36</v>
      </c>
      <c r="V62" s="28" t="s">
        <v>36</v>
      </c>
      <c r="W62" s="28" t="s">
        <v>36</v>
      </c>
      <c r="X62"/>
      <c r="Y62" s="177"/>
      <c r="Z62"/>
      <c r="AA62"/>
      <c r="AB62"/>
      <c r="AC62"/>
    </row>
    <row r="63" spans="1:29" ht="60" customHeight="1">
      <c r="A63" s="11" t="s">
        <v>173</v>
      </c>
      <c r="B63" s="11" t="s">
        <v>303</v>
      </c>
      <c r="C63" s="11" t="s">
        <v>304</v>
      </c>
      <c r="D63" s="11" t="s">
        <v>32</v>
      </c>
      <c r="E63" s="12">
        <v>26.256</v>
      </c>
      <c r="F63" s="21">
        <v>45986</v>
      </c>
      <c r="G63" s="32">
        <v>0.5</v>
      </c>
      <c r="H63" s="163" t="s">
        <v>305</v>
      </c>
      <c r="I63" s="164"/>
      <c r="J63" s="14"/>
      <c r="K63" s="15"/>
      <c r="L63" s="44" t="s">
        <v>33</v>
      </c>
      <c r="M63" s="11" t="s">
        <v>306</v>
      </c>
      <c r="N63" s="15" t="s">
        <v>35</v>
      </c>
      <c r="P63" s="28">
        <v>7</v>
      </c>
      <c r="Q63" s="28">
        <v>138</v>
      </c>
      <c r="R63" s="139">
        <f t="shared" si="0"/>
        <v>131</v>
      </c>
      <c r="T63" s="28" t="s">
        <v>36</v>
      </c>
      <c r="U63" s="28" t="s">
        <v>36</v>
      </c>
      <c r="V63" s="28" t="s">
        <v>36</v>
      </c>
      <c r="W63" s="28" t="s">
        <v>36</v>
      </c>
      <c r="Y63" s="150" t="s">
        <v>307</v>
      </c>
    </row>
    <row r="64" spans="1:29" ht="60" customHeight="1">
      <c r="A64" s="11" t="s">
        <v>173</v>
      </c>
      <c r="B64" s="11" t="s">
        <v>308</v>
      </c>
      <c r="C64" s="11" t="s">
        <v>309</v>
      </c>
      <c r="D64" s="11" t="s">
        <v>32</v>
      </c>
      <c r="E64" s="12">
        <v>26.256</v>
      </c>
      <c r="F64" s="21">
        <v>45775</v>
      </c>
      <c r="G64" s="32">
        <v>0.39305555555555555</v>
      </c>
      <c r="H64" s="163" t="s">
        <v>305</v>
      </c>
      <c r="I64" s="164"/>
      <c r="J64" s="14"/>
      <c r="K64" s="15"/>
      <c r="L64" s="44" t="s">
        <v>33</v>
      </c>
      <c r="M64" s="11" t="s">
        <v>310</v>
      </c>
      <c r="N64" s="15" t="s">
        <v>35</v>
      </c>
      <c r="P64" s="28">
        <v>7</v>
      </c>
      <c r="Q64" s="28">
        <v>138</v>
      </c>
      <c r="R64" s="28">
        <f t="shared" si="0"/>
        <v>131</v>
      </c>
      <c r="T64" s="28" t="s">
        <v>36</v>
      </c>
      <c r="U64" s="28" t="s">
        <v>36</v>
      </c>
      <c r="V64" s="28" t="s">
        <v>36</v>
      </c>
      <c r="W64" s="28" t="s">
        <v>36</v>
      </c>
      <c r="Y64" s="177"/>
    </row>
    <row r="65" spans="1:25" ht="60" customHeight="1">
      <c r="A65" s="11" t="s">
        <v>173</v>
      </c>
      <c r="B65" s="11" t="s">
        <v>267</v>
      </c>
      <c r="C65" s="11" t="s">
        <v>291</v>
      </c>
      <c r="D65" s="11" t="s">
        <v>40</v>
      </c>
      <c r="E65" s="12">
        <v>37.36</v>
      </c>
      <c r="F65" s="21">
        <v>45588</v>
      </c>
      <c r="G65" s="32">
        <v>0.35069444444444442</v>
      </c>
      <c r="H65" s="165" t="s">
        <v>311</v>
      </c>
      <c r="I65" s="167"/>
      <c r="J65" s="167"/>
      <c r="K65" s="166"/>
      <c r="L65" s="44" t="s">
        <v>33</v>
      </c>
      <c r="M65" s="11" t="s">
        <v>312</v>
      </c>
      <c r="N65" s="15" t="s">
        <v>102</v>
      </c>
      <c r="P65" s="28">
        <v>13.7</v>
      </c>
      <c r="Q65" s="28">
        <v>138</v>
      </c>
      <c r="R65" s="139">
        <f t="shared" si="0"/>
        <v>124.3</v>
      </c>
      <c r="T65" s="27" t="s">
        <v>270</v>
      </c>
      <c r="U65" s="27" t="s">
        <v>271</v>
      </c>
      <c r="V65" s="28" t="s">
        <v>36</v>
      </c>
      <c r="W65" s="28" t="s">
        <v>36</v>
      </c>
      <c r="Y65" s="149" t="s">
        <v>53</v>
      </c>
    </row>
    <row r="66" spans="1:25" ht="60" customHeight="1">
      <c r="A66" s="11" t="s">
        <v>173</v>
      </c>
      <c r="B66" s="11" t="s">
        <v>267</v>
      </c>
      <c r="C66" s="11" t="s">
        <v>291</v>
      </c>
      <c r="D66" s="11" t="s">
        <v>32</v>
      </c>
      <c r="E66" s="12">
        <v>37.36</v>
      </c>
      <c r="F66" s="21">
        <v>45588</v>
      </c>
      <c r="G66" s="32">
        <v>0.34791666666666665</v>
      </c>
      <c r="H66" s="165" t="s">
        <v>311</v>
      </c>
      <c r="I66" s="167"/>
      <c r="J66" s="167"/>
      <c r="K66" s="166"/>
      <c r="L66" s="44" t="s">
        <v>33</v>
      </c>
      <c r="M66" s="11" t="s">
        <v>312</v>
      </c>
      <c r="N66" s="15" t="s">
        <v>102</v>
      </c>
      <c r="P66" s="28">
        <v>13.7</v>
      </c>
      <c r="Q66" s="28">
        <v>138</v>
      </c>
      <c r="R66" s="139">
        <f t="shared" si="0"/>
        <v>124.3</v>
      </c>
      <c r="T66" s="27" t="s">
        <v>270</v>
      </c>
      <c r="U66" s="27" t="s">
        <v>271</v>
      </c>
      <c r="V66" s="28" t="s">
        <v>36</v>
      </c>
      <c r="W66" s="28" t="s">
        <v>36</v>
      </c>
      <c r="Y66" s="156"/>
    </row>
    <row r="67" spans="1:25" ht="60" customHeight="1">
      <c r="A67" s="11" t="s">
        <v>173</v>
      </c>
      <c r="B67" s="11" t="s">
        <v>313</v>
      </c>
      <c r="C67" s="11" t="s">
        <v>314</v>
      </c>
      <c r="D67" s="11" t="s">
        <v>32</v>
      </c>
      <c r="E67" s="12">
        <v>19.989999999999998</v>
      </c>
      <c r="F67" s="21">
        <v>45986</v>
      </c>
      <c r="G67" s="32">
        <v>0.5</v>
      </c>
      <c r="H67" s="163" t="s">
        <v>305</v>
      </c>
      <c r="I67" s="164"/>
      <c r="J67" s="14"/>
      <c r="K67" s="15"/>
      <c r="L67" s="44" t="s">
        <v>33</v>
      </c>
      <c r="M67" s="11" t="s">
        <v>315</v>
      </c>
      <c r="N67" s="15" t="s">
        <v>35</v>
      </c>
      <c r="P67" s="28">
        <v>7</v>
      </c>
      <c r="Q67" s="69">
        <v>138</v>
      </c>
      <c r="R67" s="70">
        <f>Q67-P67</f>
        <v>131</v>
      </c>
      <c r="T67" s="28" t="s">
        <v>316</v>
      </c>
      <c r="U67" s="28" t="s">
        <v>317</v>
      </c>
      <c r="V67" s="28" t="s">
        <v>36</v>
      </c>
      <c r="W67" s="28" t="s">
        <v>36</v>
      </c>
      <c r="Y67" s="74" t="s">
        <v>307</v>
      </c>
    </row>
    <row r="68" spans="1:25" ht="60" customHeight="1">
      <c r="A68" s="11" t="s">
        <v>173</v>
      </c>
      <c r="B68" s="11" t="s">
        <v>205</v>
      </c>
      <c r="C68" s="11" t="s">
        <v>206</v>
      </c>
      <c r="D68" s="11" t="s">
        <v>32</v>
      </c>
      <c r="E68" s="12">
        <v>23</v>
      </c>
      <c r="F68" s="21">
        <v>45403</v>
      </c>
      <c r="G68" s="32">
        <v>0.68055555555555558</v>
      </c>
      <c r="H68" s="165" t="s">
        <v>46</v>
      </c>
      <c r="I68" s="166"/>
      <c r="J68" s="14"/>
      <c r="K68" s="15"/>
      <c r="L68" s="44" t="s">
        <v>33</v>
      </c>
      <c r="M68" s="11" t="s">
        <v>318</v>
      </c>
      <c r="N68" s="11" t="s">
        <v>35</v>
      </c>
      <c r="P68" s="28">
        <v>7</v>
      </c>
      <c r="Q68" s="28">
        <v>139.22999999999999</v>
      </c>
      <c r="R68" s="70">
        <f>Q68-P68</f>
        <v>132.22999999999999</v>
      </c>
      <c r="T68" s="28" t="s">
        <v>36</v>
      </c>
      <c r="U68" s="28" t="s">
        <v>36</v>
      </c>
      <c r="V68" s="28" t="s">
        <v>36</v>
      </c>
      <c r="W68" s="28" t="s">
        <v>36</v>
      </c>
      <c r="Y68" s="74" t="s">
        <v>208</v>
      </c>
    </row>
    <row r="69" spans="1:25" ht="60" customHeight="1">
      <c r="A69" s="11" t="s">
        <v>173</v>
      </c>
      <c r="B69" s="11" t="s">
        <v>319</v>
      </c>
      <c r="C69" s="11" t="s">
        <v>320</v>
      </c>
      <c r="D69" s="11" t="s">
        <v>32</v>
      </c>
      <c r="E69" s="12">
        <v>8</v>
      </c>
      <c r="F69" s="21">
        <v>45242</v>
      </c>
      <c r="G69" s="32">
        <v>0.83333333333333337</v>
      </c>
      <c r="H69" s="163" t="s">
        <v>321</v>
      </c>
      <c r="I69" s="164"/>
      <c r="J69" s="14"/>
      <c r="K69" s="15"/>
      <c r="L69" s="44" t="s">
        <v>33</v>
      </c>
      <c r="M69" s="11" t="s">
        <v>322</v>
      </c>
      <c r="N69" s="11" t="s">
        <v>35</v>
      </c>
      <c r="P69" s="28" t="s">
        <v>33</v>
      </c>
      <c r="Q69" s="28" t="s">
        <v>33</v>
      </c>
      <c r="R69" s="28" t="s">
        <v>33</v>
      </c>
      <c r="T69" s="28" t="s">
        <v>36</v>
      </c>
      <c r="U69" s="28" t="s">
        <v>36</v>
      </c>
      <c r="V69" s="28" t="s">
        <v>36</v>
      </c>
      <c r="W69" s="28" t="s">
        <v>36</v>
      </c>
      <c r="Y69" s="75" t="s">
        <v>323</v>
      </c>
    </row>
    <row r="70" spans="1:25" ht="60" customHeight="1">
      <c r="A70" s="11" t="s">
        <v>173</v>
      </c>
      <c r="B70" s="11" t="s">
        <v>324</v>
      </c>
      <c r="C70" s="11" t="s">
        <v>325</v>
      </c>
      <c r="D70" s="11" t="s">
        <v>32</v>
      </c>
      <c r="E70" s="12">
        <v>8.3000000000000007</v>
      </c>
      <c r="F70" s="21">
        <v>44707</v>
      </c>
      <c r="G70" s="32">
        <v>0</v>
      </c>
      <c r="H70" s="15"/>
      <c r="I70" s="15"/>
      <c r="J70" s="14"/>
      <c r="K70" s="15"/>
      <c r="L70" s="44" t="s">
        <v>33</v>
      </c>
      <c r="M70" s="11" t="s">
        <v>326</v>
      </c>
      <c r="N70" s="11" t="s">
        <v>35</v>
      </c>
      <c r="P70" s="28" t="s">
        <v>36</v>
      </c>
      <c r="Q70" s="28" t="s">
        <v>36</v>
      </c>
      <c r="R70" s="28" t="s">
        <v>327</v>
      </c>
      <c r="T70" s="28" t="s">
        <v>316</v>
      </c>
      <c r="U70" s="28" t="s">
        <v>317</v>
      </c>
      <c r="V70" s="28" t="s">
        <v>36</v>
      </c>
      <c r="W70" s="28" t="s">
        <v>36</v>
      </c>
      <c r="Y70" s="74" t="s">
        <v>328</v>
      </c>
    </row>
    <row r="71" spans="1:25" ht="60" customHeight="1">
      <c r="A71" s="11" t="s">
        <v>173</v>
      </c>
      <c r="B71" s="11" t="s">
        <v>190</v>
      </c>
      <c r="C71" s="11" t="s">
        <v>329</v>
      </c>
      <c r="D71" s="11" t="s">
        <v>32</v>
      </c>
      <c r="E71" s="12">
        <v>2.64</v>
      </c>
      <c r="F71" s="21">
        <v>44561</v>
      </c>
      <c r="G71" s="32">
        <v>0</v>
      </c>
      <c r="H71" s="15"/>
      <c r="I71" s="15"/>
      <c r="J71" s="14"/>
      <c r="K71" s="15"/>
      <c r="L71" s="44" t="s">
        <v>33</v>
      </c>
      <c r="M71" s="11" t="s">
        <v>330</v>
      </c>
      <c r="N71" s="11" t="s">
        <v>42</v>
      </c>
      <c r="P71" s="28" t="s">
        <v>36</v>
      </c>
      <c r="Q71" s="28" t="s">
        <v>36</v>
      </c>
      <c r="R71" s="28" t="s">
        <v>327</v>
      </c>
      <c r="T71" s="28" t="s">
        <v>36</v>
      </c>
      <c r="U71" s="28" t="s">
        <v>36</v>
      </c>
      <c r="V71" s="28" t="s">
        <v>36</v>
      </c>
      <c r="W71" s="28" t="s">
        <v>36</v>
      </c>
      <c r="Y71" s="175" t="s">
        <v>193</v>
      </c>
    </row>
    <row r="72" spans="1:25" ht="60" customHeight="1">
      <c r="A72" s="11" t="s">
        <v>173</v>
      </c>
      <c r="B72" s="11" t="s">
        <v>190</v>
      </c>
      <c r="C72" s="11" t="s">
        <v>329</v>
      </c>
      <c r="D72" s="11" t="s">
        <v>40</v>
      </c>
      <c r="E72" s="12">
        <v>2.64</v>
      </c>
      <c r="F72" s="21">
        <v>44561</v>
      </c>
      <c r="G72" s="32">
        <v>0</v>
      </c>
      <c r="H72" s="15"/>
      <c r="I72" s="15"/>
      <c r="J72" s="14"/>
      <c r="K72" s="15"/>
      <c r="L72" s="44" t="s">
        <v>33</v>
      </c>
      <c r="M72" s="11" t="s">
        <v>330</v>
      </c>
      <c r="N72" s="11" t="s">
        <v>42</v>
      </c>
      <c r="P72" s="28" t="s">
        <v>36</v>
      </c>
      <c r="Q72" s="28" t="s">
        <v>36</v>
      </c>
      <c r="R72" s="28" t="s">
        <v>327</v>
      </c>
      <c r="T72" s="28" t="s">
        <v>36</v>
      </c>
      <c r="U72" s="28" t="s">
        <v>36</v>
      </c>
      <c r="V72" s="28" t="s">
        <v>36</v>
      </c>
      <c r="W72" s="28" t="s">
        <v>36</v>
      </c>
      <c r="Y72" s="162"/>
    </row>
  </sheetData>
  <autoFilter ref="A5:AC72" xr:uid="{32C71615-8584-46AE-BDFB-CDFA86FFA708}"/>
  <mergeCells count="54">
    <mergeCell ref="Y3:Y5"/>
    <mergeCell ref="Y10:Y11"/>
    <mergeCell ref="Y71:Y72"/>
    <mergeCell ref="Y65:Y66"/>
    <mergeCell ref="H67:I67"/>
    <mergeCell ref="H56:I56"/>
    <mergeCell ref="H63:I63"/>
    <mergeCell ref="Y22:Y23"/>
    <mergeCell ref="Y25:Y26"/>
    <mergeCell ref="Y34:Y37"/>
    <mergeCell ref="Y40:Y41"/>
    <mergeCell ref="H62:I62"/>
    <mergeCell ref="Y38:Y39"/>
    <mergeCell ref="Y54:Y56"/>
    <mergeCell ref="Y63:Y64"/>
    <mergeCell ref="Y61:Y62"/>
    <mergeCell ref="V3:W3"/>
    <mergeCell ref="P4:P5"/>
    <mergeCell ref="Q4:Q5"/>
    <mergeCell ref="R4:R5"/>
    <mergeCell ref="T4:T5"/>
    <mergeCell ref="U4:U5"/>
    <mergeCell ref="V4:V5"/>
    <mergeCell ref="W4:W5"/>
    <mergeCell ref="P3:R3"/>
    <mergeCell ref="C1:F1"/>
    <mergeCell ref="K1:O1"/>
    <mergeCell ref="P1:W1"/>
    <mergeCell ref="A2:N2"/>
    <mergeCell ref="A3:A5"/>
    <mergeCell ref="B3:B5"/>
    <mergeCell ref="C3:C5"/>
    <mergeCell ref="D3:D5"/>
    <mergeCell ref="E3:E5"/>
    <mergeCell ref="F3:G3"/>
    <mergeCell ref="H3:I4"/>
    <mergeCell ref="J3:K3"/>
    <mergeCell ref="N3:N5"/>
    <mergeCell ref="F4:G4"/>
    <mergeCell ref="J4:K4"/>
    <mergeCell ref="T3:U3"/>
    <mergeCell ref="H69:I69"/>
    <mergeCell ref="L3:L5"/>
    <mergeCell ref="H68:I68"/>
    <mergeCell ref="H60:I60"/>
    <mergeCell ref="H55:I55"/>
    <mergeCell ref="H10:I10"/>
    <mergeCell ref="H11:I11"/>
    <mergeCell ref="H32:I32"/>
    <mergeCell ref="H58:I58"/>
    <mergeCell ref="H61:I61"/>
    <mergeCell ref="H65:K65"/>
    <mergeCell ref="H66:K66"/>
    <mergeCell ref="H64:I64"/>
  </mergeCells>
  <conditionalFormatting sqref="E6:E20">
    <cfRule type="cellIs" dxfId="16" priority="15" operator="greaterThanOrEqual">
      <formula>50</formula>
    </cfRule>
  </conditionalFormatting>
  <conditionalFormatting sqref="E23">
    <cfRule type="cellIs" dxfId="15" priority="18" operator="greaterThanOrEqual">
      <formula>50</formula>
    </cfRule>
  </conditionalFormatting>
  <conditionalFormatting sqref="E26:E27">
    <cfRule type="cellIs" dxfId="14" priority="16" operator="greaterThanOrEqual">
      <formula>50</formula>
    </cfRule>
  </conditionalFormatting>
  <conditionalFormatting sqref="E44">
    <cfRule type="cellIs" dxfId="13" priority="19" operator="greaterThanOrEqual">
      <formula>50</formula>
    </cfRule>
  </conditionalFormatting>
  <conditionalFormatting sqref="E70:E72">
    <cfRule type="cellIs" dxfId="12" priority="17" operator="greaterThanOrEqual">
      <formula>50</formula>
    </cfRule>
  </conditionalFormatting>
  <conditionalFormatting sqref="R13:R14">
    <cfRule type="cellIs" dxfId="11" priority="8" operator="greaterThan">
      <formula>0</formula>
    </cfRule>
  </conditionalFormatting>
  <conditionalFormatting sqref="R22">
    <cfRule type="cellIs" dxfId="10" priority="9" operator="greaterThan">
      <formula>0</formula>
    </cfRule>
  </conditionalFormatting>
  <conditionalFormatting sqref="R26">
    <cfRule type="cellIs" dxfId="9" priority="10" operator="greaterThan">
      <formula>0</formula>
    </cfRule>
  </conditionalFormatting>
  <conditionalFormatting sqref="R27:R28">
    <cfRule type="cellIs" dxfId="8" priority="11" operator="greaterThan">
      <formula>0</formula>
    </cfRule>
  </conditionalFormatting>
  <conditionalFormatting sqref="R34:R36">
    <cfRule type="cellIs" dxfId="7" priority="12" operator="greaterThan">
      <formula>0</formula>
    </cfRule>
  </conditionalFormatting>
  <conditionalFormatting sqref="R59:R60 R44:R46 R39:R42 R50:R52 R63:R68 R54:R57">
    <cfRule type="cellIs" dxfId="6" priority="14" operator="greaterThan">
      <formula>0</formula>
    </cfRule>
  </conditionalFormatting>
  <conditionalFormatting sqref="R8">
    <cfRule type="cellIs" dxfId="5" priority="7" operator="greaterThan">
      <formula>0</formula>
    </cfRule>
  </conditionalFormatting>
  <conditionalFormatting sqref="R9">
    <cfRule type="cellIs" dxfId="4" priority="6" operator="greaterThan">
      <formula>0</formula>
    </cfRule>
  </conditionalFormatting>
  <conditionalFormatting sqref="R6:R7">
    <cfRule type="cellIs" dxfId="3" priority="4" operator="greaterThan">
      <formula>0</formula>
    </cfRule>
  </conditionalFormatting>
  <conditionalFormatting sqref="R15:R16">
    <cfRule type="cellIs" dxfId="2" priority="3" operator="greaterThan">
      <formula>0</formula>
    </cfRule>
  </conditionalFormatting>
  <conditionalFormatting sqref="R47">
    <cfRule type="cellIs" dxfId="1" priority="2" operator="greaterThan">
      <formula>0</formula>
    </cfRule>
  </conditionalFormatting>
  <conditionalFormatting sqref="R26:R28 R30:R36 R38:R48 R50:R52">
    <cfRule type="cellIs" dxfId="0" priority="1" operator="greaterThan">
      <formula>0</formula>
    </cfRule>
  </conditionalFormatting>
  <pageMargins left="0.7" right="0.7" top="0.75" bottom="0.75" header="0.3" footer="0.3"/>
  <pageSetup scale="16"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887C-8A10-4EF9-9CBD-9D7DE2607D16}">
  <dimension ref="A1:G32"/>
  <sheetViews>
    <sheetView workbookViewId="0"/>
  </sheetViews>
  <sheetFormatPr defaultColWidth="8.85546875" defaultRowHeight="13.9"/>
  <cols>
    <col min="1" max="2" width="8.85546875" style="101"/>
    <col min="3" max="3" width="19" style="101" customWidth="1"/>
    <col min="4" max="4" width="16.28515625" style="101" customWidth="1"/>
    <col min="5" max="5" width="20.7109375" style="101" customWidth="1"/>
    <col min="6" max="6" width="34.42578125" style="101" customWidth="1"/>
    <col min="7" max="7" width="33" style="101" customWidth="1"/>
    <col min="8" max="16384" width="8.85546875" style="101"/>
  </cols>
  <sheetData>
    <row r="1" spans="1:7" ht="14.45" thickBot="1">
      <c r="A1" s="182" t="s">
        <v>331</v>
      </c>
      <c r="B1" s="182"/>
      <c r="C1" s="182"/>
      <c r="D1" s="182"/>
      <c r="E1" s="182"/>
      <c r="F1" s="182"/>
      <c r="G1" s="182"/>
    </row>
    <row r="2" spans="1:7" ht="28.15" thickBot="1">
      <c r="A2" s="77" t="s">
        <v>332</v>
      </c>
      <c r="B2" s="78" t="s">
        <v>333</v>
      </c>
      <c r="C2" s="79" t="s">
        <v>334</v>
      </c>
      <c r="D2" s="78" t="s">
        <v>335</v>
      </c>
      <c r="E2" s="80" t="s">
        <v>336</v>
      </c>
      <c r="F2" s="80" t="s">
        <v>337</v>
      </c>
      <c r="G2" s="81" t="s">
        <v>338</v>
      </c>
    </row>
    <row r="3" spans="1:7">
      <c r="A3" s="178">
        <v>46155</v>
      </c>
      <c r="B3" s="104">
        <v>15</v>
      </c>
      <c r="C3" s="105" t="s">
        <v>339</v>
      </c>
      <c r="D3" s="106" t="s">
        <v>340</v>
      </c>
      <c r="E3" s="107" t="s">
        <v>341</v>
      </c>
      <c r="F3" s="108">
        <v>5632.4117916666664</v>
      </c>
      <c r="G3" s="109"/>
    </row>
    <row r="4" spans="1:7">
      <c r="A4" s="179"/>
      <c r="B4" s="85">
        <v>16</v>
      </c>
      <c r="C4" s="86" t="s">
        <v>339</v>
      </c>
      <c r="D4" s="87" t="s">
        <v>340</v>
      </c>
      <c r="E4" s="88" t="s">
        <v>341</v>
      </c>
      <c r="F4" s="89">
        <v>6844.1718416666672</v>
      </c>
      <c r="G4" s="90"/>
    </row>
    <row r="5" spans="1:7">
      <c r="A5" s="179"/>
      <c r="B5" s="85">
        <v>17</v>
      </c>
      <c r="C5" s="86" t="s">
        <v>339</v>
      </c>
      <c r="D5" s="87" t="s">
        <v>340</v>
      </c>
      <c r="E5" s="88" t="s">
        <v>341</v>
      </c>
      <c r="F5" s="89">
        <v>8094.7437416666653</v>
      </c>
      <c r="G5" s="90"/>
    </row>
    <row r="6" spans="1:7">
      <c r="A6" s="179"/>
      <c r="B6" s="85">
        <v>18</v>
      </c>
      <c r="C6" s="86" t="s">
        <v>339</v>
      </c>
      <c r="D6" s="87" t="s">
        <v>340</v>
      </c>
      <c r="E6" s="88" t="s">
        <v>341</v>
      </c>
      <c r="F6" s="89">
        <v>9226.7666750000008</v>
      </c>
      <c r="G6" s="90"/>
    </row>
    <row r="7" spans="1:7">
      <c r="A7" s="179"/>
      <c r="B7" s="85">
        <v>19</v>
      </c>
      <c r="C7" s="86" t="s">
        <v>339</v>
      </c>
      <c r="D7" s="87" t="s">
        <v>340</v>
      </c>
      <c r="E7" s="88" t="s">
        <v>341</v>
      </c>
      <c r="F7" s="89">
        <v>16227.696266666668</v>
      </c>
      <c r="G7" s="90"/>
    </row>
    <row r="8" spans="1:7">
      <c r="A8" s="179"/>
      <c r="B8" s="85">
        <v>20</v>
      </c>
      <c r="C8" s="86" t="s">
        <v>339</v>
      </c>
      <c r="D8" s="87" t="s">
        <v>340</v>
      </c>
      <c r="E8" s="88" t="s">
        <v>341</v>
      </c>
      <c r="F8" s="89">
        <v>9671.0080083333341</v>
      </c>
      <c r="G8" s="90"/>
    </row>
    <row r="9" spans="1:7">
      <c r="A9" s="179"/>
      <c r="B9" s="85">
        <v>21</v>
      </c>
      <c r="C9" s="86" t="s">
        <v>339</v>
      </c>
      <c r="D9" s="87" t="s">
        <v>340</v>
      </c>
      <c r="E9" s="88" t="s">
        <v>341</v>
      </c>
      <c r="F9" s="89">
        <v>7251.7298583333331</v>
      </c>
      <c r="G9" s="90"/>
    </row>
    <row r="10" spans="1:7">
      <c r="A10" s="179"/>
      <c r="B10" s="85">
        <v>22</v>
      </c>
      <c r="C10" s="86" t="s">
        <v>339</v>
      </c>
      <c r="D10" s="87" t="s">
        <v>340</v>
      </c>
      <c r="E10" s="88" t="s">
        <v>341</v>
      </c>
      <c r="F10" s="89">
        <v>7765.1888166666677</v>
      </c>
      <c r="G10" s="90"/>
    </row>
    <row r="11" spans="1:7">
      <c r="A11" s="179"/>
      <c r="B11" s="85">
        <v>23</v>
      </c>
      <c r="C11" s="86" t="s">
        <v>339</v>
      </c>
      <c r="D11" s="87" t="s">
        <v>340</v>
      </c>
      <c r="E11" s="88" t="s">
        <v>341</v>
      </c>
      <c r="F11" s="89">
        <v>8266.6445916666671</v>
      </c>
      <c r="G11" s="90"/>
    </row>
    <row r="12" spans="1:7" ht="14.45" thickBot="1">
      <c r="A12" s="180"/>
      <c r="B12" s="95">
        <v>24</v>
      </c>
      <c r="C12" s="96" t="s">
        <v>339</v>
      </c>
      <c r="D12" s="110" t="s">
        <v>340</v>
      </c>
      <c r="E12" s="111" t="s">
        <v>341</v>
      </c>
      <c r="F12" s="99">
        <v>5601.4310166666664</v>
      </c>
      <c r="G12" s="112"/>
    </row>
    <row r="13" spans="1:7">
      <c r="A13" s="178">
        <v>46156</v>
      </c>
      <c r="B13" s="104">
        <v>15</v>
      </c>
      <c r="C13" s="114">
        <v>32000</v>
      </c>
      <c r="D13" s="115" t="s">
        <v>342</v>
      </c>
      <c r="E13" s="116" t="s">
        <v>343</v>
      </c>
      <c r="F13" s="108"/>
      <c r="G13" s="117" t="s">
        <v>344</v>
      </c>
    </row>
    <row r="14" spans="1:7">
      <c r="A14" s="179"/>
      <c r="B14" s="85">
        <v>16</v>
      </c>
      <c r="C14" s="86" t="s">
        <v>339</v>
      </c>
      <c r="D14" s="87" t="s">
        <v>340</v>
      </c>
      <c r="E14" s="88" t="s">
        <v>341</v>
      </c>
      <c r="F14" s="89">
        <v>8575.8302750000003</v>
      </c>
      <c r="G14" s="90"/>
    </row>
    <row r="15" spans="1:7">
      <c r="A15" s="179"/>
      <c r="B15" s="85">
        <v>17</v>
      </c>
      <c r="C15" s="86" t="s">
        <v>339</v>
      </c>
      <c r="D15" s="87" t="s">
        <v>340</v>
      </c>
      <c r="E15" s="88" t="s">
        <v>341</v>
      </c>
      <c r="F15" s="89">
        <v>9399.5594833333325</v>
      </c>
      <c r="G15" s="90"/>
    </row>
    <row r="16" spans="1:7">
      <c r="A16" s="179"/>
      <c r="B16" s="85">
        <v>18</v>
      </c>
      <c r="C16" s="86" t="s">
        <v>339</v>
      </c>
      <c r="D16" s="87" t="s">
        <v>340</v>
      </c>
      <c r="E16" s="88" t="s">
        <v>341</v>
      </c>
      <c r="F16" s="89">
        <v>9449.2639583333312</v>
      </c>
      <c r="G16" s="90"/>
    </row>
    <row r="17" spans="1:7">
      <c r="A17" s="179"/>
      <c r="B17" s="85">
        <v>19</v>
      </c>
      <c r="C17" s="86" t="s">
        <v>339</v>
      </c>
      <c r="D17" s="87" t="s">
        <v>340</v>
      </c>
      <c r="E17" s="88" t="s">
        <v>341</v>
      </c>
      <c r="F17" s="89">
        <v>13810.774066666665</v>
      </c>
      <c r="G17" s="90"/>
    </row>
    <row r="18" spans="1:7">
      <c r="A18" s="179"/>
      <c r="B18" s="85">
        <v>20</v>
      </c>
      <c r="C18" s="86" t="s">
        <v>339</v>
      </c>
      <c r="D18" s="87" t="s">
        <v>340</v>
      </c>
      <c r="E18" s="88" t="s">
        <v>341</v>
      </c>
      <c r="F18" s="89">
        <v>9099.1223000000009</v>
      </c>
      <c r="G18" s="90"/>
    </row>
    <row r="19" spans="1:7">
      <c r="A19" s="179"/>
      <c r="B19" s="85">
        <v>21</v>
      </c>
      <c r="C19" s="86" t="s">
        <v>339</v>
      </c>
      <c r="D19" s="87" t="s">
        <v>340</v>
      </c>
      <c r="E19" s="88" t="s">
        <v>341</v>
      </c>
      <c r="F19" s="89">
        <v>9090.6832000000013</v>
      </c>
      <c r="G19" s="90"/>
    </row>
    <row r="20" spans="1:7">
      <c r="A20" s="179"/>
      <c r="B20" s="85">
        <v>22</v>
      </c>
      <c r="C20" s="86" t="s">
        <v>339</v>
      </c>
      <c r="D20" s="87" t="s">
        <v>340</v>
      </c>
      <c r="E20" s="88" t="s">
        <v>341</v>
      </c>
      <c r="F20" s="89">
        <v>7213.9115833333335</v>
      </c>
      <c r="G20" s="90"/>
    </row>
    <row r="21" spans="1:7" ht="14.45" thickBot="1">
      <c r="A21" s="180"/>
      <c r="B21" s="95">
        <v>23</v>
      </c>
      <c r="C21" s="96" t="s">
        <v>339</v>
      </c>
      <c r="D21" s="110" t="s">
        <v>340</v>
      </c>
      <c r="E21" s="111" t="s">
        <v>341</v>
      </c>
      <c r="F21" s="99">
        <v>5233.1513833333347</v>
      </c>
      <c r="G21" s="112"/>
    </row>
    <row r="22" spans="1:7" ht="27.6">
      <c r="A22" s="181">
        <v>46157</v>
      </c>
      <c r="B22" s="82">
        <v>14</v>
      </c>
      <c r="C22" s="83">
        <v>32000</v>
      </c>
      <c r="D22" s="102" t="s">
        <v>342</v>
      </c>
      <c r="E22" s="103" t="s">
        <v>343</v>
      </c>
      <c r="F22" s="84"/>
      <c r="G22" s="113" t="s">
        <v>345</v>
      </c>
    </row>
    <row r="23" spans="1:7">
      <c r="A23" s="179"/>
      <c r="B23" s="85">
        <v>15</v>
      </c>
      <c r="C23" s="86" t="s">
        <v>339</v>
      </c>
      <c r="D23" s="87" t="s">
        <v>340</v>
      </c>
      <c r="E23" s="88" t="s">
        <v>341</v>
      </c>
      <c r="F23" s="89">
        <v>9230.2473833333333</v>
      </c>
      <c r="G23" s="90"/>
    </row>
    <row r="24" spans="1:7">
      <c r="A24" s="179"/>
      <c r="B24" s="85">
        <v>16</v>
      </c>
      <c r="C24" s="86" t="s">
        <v>339</v>
      </c>
      <c r="D24" s="87" t="s">
        <v>340</v>
      </c>
      <c r="E24" s="88" t="s">
        <v>341</v>
      </c>
      <c r="F24" s="89">
        <v>9361.8661166666661</v>
      </c>
      <c r="G24" s="90"/>
    </row>
    <row r="25" spans="1:7">
      <c r="A25" s="179"/>
      <c r="B25" s="85">
        <v>17</v>
      </c>
      <c r="C25" s="86" t="s">
        <v>339</v>
      </c>
      <c r="D25" s="87" t="s">
        <v>340</v>
      </c>
      <c r="E25" s="88" t="s">
        <v>341</v>
      </c>
      <c r="F25" s="89">
        <v>11361.943850000001</v>
      </c>
      <c r="G25" s="90"/>
    </row>
    <row r="26" spans="1:7">
      <c r="A26" s="179"/>
      <c r="B26" s="85">
        <v>18</v>
      </c>
      <c r="C26" s="86" t="s">
        <v>339</v>
      </c>
      <c r="D26" s="87" t="s">
        <v>340</v>
      </c>
      <c r="E26" s="88" t="s">
        <v>341</v>
      </c>
      <c r="F26" s="89">
        <v>11988.638266666667</v>
      </c>
      <c r="G26" s="90"/>
    </row>
    <row r="27" spans="1:7">
      <c r="A27" s="179"/>
      <c r="B27" s="85">
        <v>19</v>
      </c>
      <c r="C27" s="86" t="s">
        <v>339</v>
      </c>
      <c r="D27" s="87" t="s">
        <v>340</v>
      </c>
      <c r="E27" s="88" t="s">
        <v>341</v>
      </c>
      <c r="F27" s="89">
        <v>15957.748308333335</v>
      </c>
      <c r="G27" s="90"/>
    </row>
    <row r="28" spans="1:7">
      <c r="A28" s="179"/>
      <c r="B28" s="85">
        <v>20</v>
      </c>
      <c r="C28" s="86" t="s">
        <v>339</v>
      </c>
      <c r="D28" s="87" t="s">
        <v>340</v>
      </c>
      <c r="E28" s="88" t="s">
        <v>341</v>
      </c>
      <c r="F28" s="89">
        <v>16265.689149999998</v>
      </c>
      <c r="G28" s="90"/>
    </row>
    <row r="29" spans="1:7">
      <c r="A29" s="179"/>
      <c r="B29" s="85">
        <v>21</v>
      </c>
      <c r="C29" s="86" t="s">
        <v>339</v>
      </c>
      <c r="D29" s="87" t="s">
        <v>340</v>
      </c>
      <c r="E29" s="88" t="s">
        <v>341</v>
      </c>
      <c r="F29" s="94">
        <v>14986.19</v>
      </c>
      <c r="G29" s="90"/>
    </row>
    <row r="30" spans="1:7">
      <c r="A30" s="179"/>
      <c r="B30" s="85">
        <v>22</v>
      </c>
      <c r="C30" s="86" t="s">
        <v>339</v>
      </c>
      <c r="D30" s="87" t="s">
        <v>340</v>
      </c>
      <c r="E30" s="88" t="s">
        <v>341</v>
      </c>
      <c r="F30" s="94">
        <v>13817.57</v>
      </c>
      <c r="G30" s="90"/>
    </row>
    <row r="31" spans="1:7">
      <c r="A31" s="179"/>
      <c r="B31" s="85">
        <v>23</v>
      </c>
      <c r="C31" s="86">
        <v>32000</v>
      </c>
      <c r="D31" s="87" t="s">
        <v>340</v>
      </c>
      <c r="E31" s="92" t="s">
        <v>343</v>
      </c>
      <c r="F31" s="89"/>
      <c r="G31" s="93" t="s">
        <v>346</v>
      </c>
    </row>
    <row r="32" spans="1:7" ht="14.45" thickBot="1">
      <c r="A32" s="180"/>
      <c r="B32" s="95">
        <v>24</v>
      </c>
      <c r="C32" s="96">
        <v>21180.27</v>
      </c>
      <c r="D32" s="97" t="s">
        <v>342</v>
      </c>
      <c r="E32" s="98" t="s">
        <v>343</v>
      </c>
      <c r="F32" s="99"/>
      <c r="G32" s="100" t="s">
        <v>347</v>
      </c>
    </row>
  </sheetData>
  <mergeCells count="4">
    <mergeCell ref="A3:A12"/>
    <mergeCell ref="A13:A21"/>
    <mergeCell ref="A22:A32"/>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8737-48BD-B14C-98F1-30AC521F78EA}">
  <dimension ref="A1:G40"/>
  <sheetViews>
    <sheetView workbookViewId="0"/>
  </sheetViews>
  <sheetFormatPr defaultColWidth="8.85546875" defaultRowHeight="13.9"/>
  <cols>
    <col min="1" max="2" width="8.85546875" style="101"/>
    <col min="3" max="3" width="15.140625" style="101" customWidth="1"/>
    <col min="4" max="4" width="11" style="101" customWidth="1"/>
    <col min="5" max="5" width="15.7109375" style="101" customWidth="1"/>
    <col min="6" max="6" width="18.28515625" style="101" customWidth="1"/>
    <col min="7" max="7" width="26.85546875" style="101" customWidth="1"/>
    <col min="8" max="16384" width="8.85546875" style="101"/>
  </cols>
  <sheetData>
    <row r="1" spans="1:7" ht="14.45" thickBot="1">
      <c r="A1" s="182" t="s">
        <v>348</v>
      </c>
      <c r="B1" s="182"/>
      <c r="C1" s="182"/>
      <c r="D1" s="182"/>
      <c r="E1" s="182"/>
      <c r="F1" s="182"/>
      <c r="G1" s="182"/>
    </row>
    <row r="2" spans="1:7" ht="42" thickBot="1">
      <c r="A2" s="77" t="s">
        <v>332</v>
      </c>
      <c r="B2" s="78" t="s">
        <v>333</v>
      </c>
      <c r="C2" s="79" t="s">
        <v>334</v>
      </c>
      <c r="D2" s="78" t="s">
        <v>335</v>
      </c>
      <c r="E2" s="80" t="s">
        <v>336</v>
      </c>
      <c r="F2" s="80" t="s">
        <v>337</v>
      </c>
      <c r="G2" s="81" t="s">
        <v>338</v>
      </c>
    </row>
    <row r="3" spans="1:7">
      <c r="A3" s="178">
        <v>46155</v>
      </c>
      <c r="B3" s="104">
        <v>16</v>
      </c>
      <c r="C3" s="105" t="s">
        <v>339</v>
      </c>
      <c r="D3" s="106" t="s">
        <v>340</v>
      </c>
      <c r="E3" s="107" t="s">
        <v>341</v>
      </c>
      <c r="F3" s="108">
        <v>11980.032066666667</v>
      </c>
      <c r="G3" s="118"/>
    </row>
    <row r="4" spans="1:7">
      <c r="A4" s="179"/>
      <c r="B4" s="85">
        <v>17</v>
      </c>
      <c r="C4" s="86" t="s">
        <v>339</v>
      </c>
      <c r="D4" s="87" t="s">
        <v>340</v>
      </c>
      <c r="E4" s="88" t="s">
        <v>341</v>
      </c>
      <c r="F4" s="89">
        <v>8094.7437416666653</v>
      </c>
      <c r="G4" s="119"/>
    </row>
    <row r="5" spans="1:7">
      <c r="A5" s="179"/>
      <c r="B5" s="85">
        <v>18</v>
      </c>
      <c r="C5" s="86" t="s">
        <v>339</v>
      </c>
      <c r="D5" s="87" t="s">
        <v>340</v>
      </c>
      <c r="E5" s="88" t="s">
        <v>341</v>
      </c>
      <c r="F5" s="89">
        <v>9226.7666750000008</v>
      </c>
      <c r="G5" s="119"/>
    </row>
    <row r="6" spans="1:7">
      <c r="A6" s="179"/>
      <c r="B6" s="85">
        <v>19</v>
      </c>
      <c r="C6" s="86" t="s">
        <v>339</v>
      </c>
      <c r="D6" s="87" t="s">
        <v>340</v>
      </c>
      <c r="E6" s="88" t="s">
        <v>341</v>
      </c>
      <c r="F6" s="89">
        <v>16227.696266666668</v>
      </c>
      <c r="G6" s="90"/>
    </row>
    <row r="7" spans="1:7">
      <c r="A7" s="179"/>
      <c r="B7" s="85">
        <v>20</v>
      </c>
      <c r="C7" s="86" t="s">
        <v>339</v>
      </c>
      <c r="D7" s="87" t="s">
        <v>340</v>
      </c>
      <c r="E7" s="88" t="s">
        <v>341</v>
      </c>
      <c r="F7" s="89">
        <v>9671.0080083333341</v>
      </c>
      <c r="G7" s="90"/>
    </row>
    <row r="8" spans="1:7">
      <c r="A8" s="179"/>
      <c r="B8" s="85">
        <v>21</v>
      </c>
      <c r="C8" s="86" t="s">
        <v>339</v>
      </c>
      <c r="D8" s="87" t="s">
        <v>340</v>
      </c>
      <c r="E8" s="88" t="s">
        <v>341</v>
      </c>
      <c r="F8" s="89">
        <v>7251.7298583333331</v>
      </c>
      <c r="G8" s="90"/>
    </row>
    <row r="9" spans="1:7">
      <c r="A9" s="179"/>
      <c r="B9" s="85">
        <v>22</v>
      </c>
      <c r="C9" s="86" t="s">
        <v>339</v>
      </c>
      <c r="D9" s="87" t="s">
        <v>340</v>
      </c>
      <c r="E9" s="88" t="s">
        <v>341</v>
      </c>
      <c r="F9" s="89">
        <v>7729.313783333334</v>
      </c>
      <c r="G9" s="90"/>
    </row>
    <row r="10" spans="1:7">
      <c r="A10" s="179"/>
      <c r="B10" s="85">
        <v>23</v>
      </c>
      <c r="C10" s="86">
        <v>32000</v>
      </c>
      <c r="D10" s="91" t="s">
        <v>342</v>
      </c>
      <c r="E10" s="92" t="s">
        <v>343</v>
      </c>
      <c r="F10" s="89"/>
      <c r="G10" s="130" t="s">
        <v>349</v>
      </c>
    </row>
    <row r="11" spans="1:7" ht="42" thickBot="1">
      <c r="A11" s="180"/>
      <c r="B11" s="95">
        <v>24</v>
      </c>
      <c r="C11" s="96">
        <v>32000</v>
      </c>
      <c r="D11" s="97" t="s">
        <v>342</v>
      </c>
      <c r="E11" s="98" t="s">
        <v>343</v>
      </c>
      <c r="F11" s="99"/>
      <c r="G11" s="131" t="s">
        <v>350</v>
      </c>
    </row>
    <row r="12" spans="1:7">
      <c r="A12" s="178">
        <v>46156</v>
      </c>
      <c r="B12" s="104">
        <v>16</v>
      </c>
      <c r="C12" s="105" t="s">
        <v>339</v>
      </c>
      <c r="D12" s="106" t="s">
        <v>340</v>
      </c>
      <c r="E12" s="107" t="s">
        <v>341</v>
      </c>
      <c r="F12" s="108">
        <v>8671.6269833333336</v>
      </c>
      <c r="G12" s="132"/>
    </row>
    <row r="13" spans="1:7">
      <c r="A13" s="179"/>
      <c r="B13" s="85">
        <v>17</v>
      </c>
      <c r="C13" s="86" t="s">
        <v>339</v>
      </c>
      <c r="D13" s="87" t="s">
        <v>340</v>
      </c>
      <c r="E13" s="88" t="s">
        <v>341</v>
      </c>
      <c r="F13" s="89">
        <v>9399.5594833333325</v>
      </c>
      <c r="G13" s="133"/>
    </row>
    <row r="14" spans="1:7">
      <c r="A14" s="179"/>
      <c r="B14" s="85">
        <v>18</v>
      </c>
      <c r="C14" s="86" t="s">
        <v>339</v>
      </c>
      <c r="D14" s="87" t="s">
        <v>340</v>
      </c>
      <c r="E14" s="88" t="s">
        <v>341</v>
      </c>
      <c r="F14" s="89">
        <v>9449.2639583333312</v>
      </c>
      <c r="G14" s="133"/>
    </row>
    <row r="15" spans="1:7">
      <c r="A15" s="179"/>
      <c r="B15" s="85">
        <v>19</v>
      </c>
      <c r="C15" s="86" t="s">
        <v>339</v>
      </c>
      <c r="D15" s="87" t="s">
        <v>340</v>
      </c>
      <c r="E15" s="88" t="s">
        <v>341</v>
      </c>
      <c r="F15" s="89">
        <v>13810.774066666665</v>
      </c>
      <c r="G15" s="133"/>
    </row>
    <row r="16" spans="1:7">
      <c r="A16" s="179"/>
      <c r="B16" s="85">
        <v>20</v>
      </c>
      <c r="C16" s="86" t="s">
        <v>339</v>
      </c>
      <c r="D16" s="87" t="s">
        <v>340</v>
      </c>
      <c r="E16" s="88" t="s">
        <v>341</v>
      </c>
      <c r="F16" s="89">
        <v>9099.1223000000009</v>
      </c>
      <c r="G16" s="133"/>
    </row>
    <row r="17" spans="1:7">
      <c r="A17" s="179"/>
      <c r="B17" s="85">
        <v>21</v>
      </c>
      <c r="C17" s="86" t="s">
        <v>339</v>
      </c>
      <c r="D17" s="87" t="s">
        <v>340</v>
      </c>
      <c r="E17" s="88" t="s">
        <v>341</v>
      </c>
      <c r="F17" s="89">
        <v>9090.6832000000013</v>
      </c>
      <c r="G17" s="133"/>
    </row>
    <row r="18" spans="1:7">
      <c r="A18" s="179"/>
      <c r="B18" s="85">
        <v>22</v>
      </c>
      <c r="C18" s="86" t="s">
        <v>339</v>
      </c>
      <c r="D18" s="91" t="s">
        <v>342</v>
      </c>
      <c r="E18" s="88" t="s">
        <v>341</v>
      </c>
      <c r="F18" s="89">
        <v>7135.5291499999994</v>
      </c>
      <c r="G18" s="133"/>
    </row>
    <row r="19" spans="1:7" ht="55.9" thickBot="1">
      <c r="A19" s="180"/>
      <c r="B19" s="95">
        <v>23</v>
      </c>
      <c r="C19" s="96">
        <v>32000</v>
      </c>
      <c r="D19" s="97" t="s">
        <v>342</v>
      </c>
      <c r="E19" s="98" t="s">
        <v>343</v>
      </c>
      <c r="F19" s="99"/>
      <c r="G19" s="131" t="s">
        <v>351</v>
      </c>
    </row>
    <row r="20" spans="1:7" ht="55.15">
      <c r="A20" s="178">
        <v>46157</v>
      </c>
      <c r="B20" s="104">
        <v>15</v>
      </c>
      <c r="C20" s="105">
        <v>32000</v>
      </c>
      <c r="D20" s="115" t="s">
        <v>342</v>
      </c>
      <c r="E20" s="116" t="s">
        <v>343</v>
      </c>
      <c r="F20" s="108"/>
      <c r="G20" s="129" t="s">
        <v>352</v>
      </c>
    </row>
    <row r="21" spans="1:7" ht="69">
      <c r="A21" s="179"/>
      <c r="B21" s="85">
        <v>16</v>
      </c>
      <c r="C21" s="86">
        <v>32000</v>
      </c>
      <c r="D21" s="87" t="s">
        <v>340</v>
      </c>
      <c r="E21" s="92" t="s">
        <v>343</v>
      </c>
      <c r="F21" s="89"/>
      <c r="G21" s="130" t="s">
        <v>353</v>
      </c>
    </row>
    <row r="22" spans="1:7">
      <c r="A22" s="179"/>
      <c r="B22" s="85">
        <v>17</v>
      </c>
      <c r="C22" s="86" t="s">
        <v>339</v>
      </c>
      <c r="D22" s="87" t="s">
        <v>340</v>
      </c>
      <c r="E22" s="88" t="s">
        <v>341</v>
      </c>
      <c r="F22" s="89">
        <v>9217.9277666666658</v>
      </c>
      <c r="G22" s="133"/>
    </row>
    <row r="23" spans="1:7">
      <c r="A23" s="179"/>
      <c r="B23" s="85">
        <v>18</v>
      </c>
      <c r="C23" s="86" t="s">
        <v>339</v>
      </c>
      <c r="D23" s="87" t="s">
        <v>340</v>
      </c>
      <c r="E23" s="88" t="s">
        <v>341</v>
      </c>
      <c r="F23" s="89">
        <v>11988.638266666667</v>
      </c>
      <c r="G23" s="133"/>
    </row>
    <row r="24" spans="1:7">
      <c r="A24" s="179"/>
      <c r="B24" s="85">
        <v>19</v>
      </c>
      <c r="C24" s="86" t="s">
        <v>339</v>
      </c>
      <c r="D24" s="87" t="s">
        <v>340</v>
      </c>
      <c r="E24" s="88" t="s">
        <v>341</v>
      </c>
      <c r="F24" s="89">
        <v>15957.748308333335</v>
      </c>
      <c r="G24" s="133"/>
    </row>
    <row r="25" spans="1:7">
      <c r="A25" s="179"/>
      <c r="B25" s="85">
        <v>20</v>
      </c>
      <c r="C25" s="86" t="s">
        <v>339</v>
      </c>
      <c r="D25" s="87" t="s">
        <v>340</v>
      </c>
      <c r="E25" s="88" t="s">
        <v>341</v>
      </c>
      <c r="F25" s="89">
        <v>16265.689149999998</v>
      </c>
      <c r="G25" s="133"/>
    </row>
    <row r="26" spans="1:7">
      <c r="A26" s="179"/>
      <c r="B26" s="85">
        <v>21</v>
      </c>
      <c r="C26" s="86" t="s">
        <v>339</v>
      </c>
      <c r="D26" s="87" t="s">
        <v>340</v>
      </c>
      <c r="E26" s="88" t="s">
        <v>341</v>
      </c>
      <c r="F26" s="89">
        <v>14986.185983333335</v>
      </c>
      <c r="G26" s="133"/>
    </row>
    <row r="27" spans="1:7" ht="41.45">
      <c r="A27" s="179"/>
      <c r="B27" s="85">
        <v>22</v>
      </c>
      <c r="C27" s="86">
        <v>32000</v>
      </c>
      <c r="D27" s="87" t="s">
        <v>340</v>
      </c>
      <c r="E27" s="92" t="s">
        <v>343</v>
      </c>
      <c r="F27" s="89"/>
      <c r="G27" s="130" t="s">
        <v>354</v>
      </c>
    </row>
    <row r="28" spans="1:7" ht="41.45">
      <c r="A28" s="179"/>
      <c r="B28" s="85">
        <v>23</v>
      </c>
      <c r="C28" s="86">
        <v>32000</v>
      </c>
      <c r="D28" s="87" t="s">
        <v>340</v>
      </c>
      <c r="E28" s="92" t="s">
        <v>343</v>
      </c>
      <c r="F28" s="89"/>
      <c r="G28" s="130" t="s">
        <v>355</v>
      </c>
    </row>
    <row r="29" spans="1:7" ht="14.45" thickBot="1">
      <c r="A29" s="180"/>
      <c r="B29" s="95">
        <v>24</v>
      </c>
      <c r="C29" s="96">
        <v>21180.7</v>
      </c>
      <c r="D29" s="97" t="s">
        <v>342</v>
      </c>
      <c r="E29" s="98" t="s">
        <v>343</v>
      </c>
      <c r="F29" s="99"/>
      <c r="G29" s="131" t="s">
        <v>356</v>
      </c>
    </row>
    <row r="30" spans="1:7" ht="55.15">
      <c r="A30" s="178">
        <v>46158</v>
      </c>
      <c r="B30" s="104">
        <v>18</v>
      </c>
      <c r="C30" s="105">
        <v>32000</v>
      </c>
      <c r="D30" s="115" t="s">
        <v>342</v>
      </c>
      <c r="E30" s="116" t="s">
        <v>343</v>
      </c>
      <c r="F30" s="108"/>
      <c r="G30" s="129" t="s">
        <v>357</v>
      </c>
    </row>
    <row r="31" spans="1:7" ht="69">
      <c r="A31" s="179"/>
      <c r="B31" s="85">
        <v>19</v>
      </c>
      <c r="C31" s="86">
        <v>32000</v>
      </c>
      <c r="D31" s="91" t="s">
        <v>342</v>
      </c>
      <c r="E31" s="92" t="s">
        <v>343</v>
      </c>
      <c r="F31" s="89"/>
      <c r="G31" s="130" t="s">
        <v>358</v>
      </c>
    </row>
    <row r="32" spans="1:7" ht="41.45">
      <c r="A32" s="179"/>
      <c r="B32" s="85">
        <v>20</v>
      </c>
      <c r="C32" s="86">
        <v>32000</v>
      </c>
      <c r="D32" s="91" t="s">
        <v>342</v>
      </c>
      <c r="E32" s="92" t="s">
        <v>343</v>
      </c>
      <c r="F32" s="89"/>
      <c r="G32" s="130" t="s">
        <v>359</v>
      </c>
    </row>
    <row r="33" spans="1:7">
      <c r="A33" s="179"/>
      <c r="B33" s="85">
        <v>21</v>
      </c>
      <c r="C33" s="86">
        <v>32000</v>
      </c>
      <c r="D33" s="91" t="s">
        <v>342</v>
      </c>
      <c r="E33" s="92" t="s">
        <v>343</v>
      </c>
      <c r="F33" s="89"/>
      <c r="G33" s="130" t="s">
        <v>360</v>
      </c>
    </row>
    <row r="34" spans="1:7" ht="55.9" thickBot="1">
      <c r="A34" s="180"/>
      <c r="B34" s="95">
        <v>22</v>
      </c>
      <c r="C34" s="96">
        <v>20931.28</v>
      </c>
      <c r="D34" s="97" t="s">
        <v>342</v>
      </c>
      <c r="E34" s="98" t="s">
        <v>343</v>
      </c>
      <c r="F34" s="99"/>
      <c r="G34" s="131" t="s">
        <v>361</v>
      </c>
    </row>
    <row r="35" spans="1:7" ht="41.45">
      <c r="A35" s="178">
        <v>46160</v>
      </c>
      <c r="B35" s="104">
        <v>16</v>
      </c>
      <c r="C35" s="105">
        <v>32000</v>
      </c>
      <c r="D35" s="115" t="s">
        <v>342</v>
      </c>
      <c r="E35" s="116" t="s">
        <v>343</v>
      </c>
      <c r="F35" s="108"/>
      <c r="G35" s="129" t="s">
        <v>362</v>
      </c>
    </row>
    <row r="36" spans="1:7" ht="69">
      <c r="A36" s="179"/>
      <c r="B36" s="85">
        <v>17</v>
      </c>
      <c r="C36" s="86">
        <v>32000</v>
      </c>
      <c r="D36" s="91" t="s">
        <v>342</v>
      </c>
      <c r="E36" s="92" t="s">
        <v>343</v>
      </c>
      <c r="F36" s="89"/>
      <c r="G36" s="130" t="s">
        <v>363</v>
      </c>
    </row>
    <row r="37" spans="1:7" ht="55.15">
      <c r="A37" s="179"/>
      <c r="B37" s="85">
        <v>18</v>
      </c>
      <c r="C37" s="86">
        <v>32000</v>
      </c>
      <c r="D37" s="91" t="s">
        <v>342</v>
      </c>
      <c r="E37" s="92" t="s">
        <v>343</v>
      </c>
      <c r="F37" s="89"/>
      <c r="G37" s="130" t="s">
        <v>364</v>
      </c>
    </row>
    <row r="38" spans="1:7" ht="55.15">
      <c r="A38" s="179"/>
      <c r="B38" s="85">
        <v>19</v>
      </c>
      <c r="C38" s="86">
        <v>32000</v>
      </c>
      <c r="D38" s="91" t="s">
        <v>342</v>
      </c>
      <c r="E38" s="92" t="s">
        <v>343</v>
      </c>
      <c r="F38" s="89"/>
      <c r="G38" s="130" t="s">
        <v>365</v>
      </c>
    </row>
    <row r="39" spans="1:7" ht="55.15">
      <c r="A39" s="179"/>
      <c r="B39" s="85">
        <v>20</v>
      </c>
      <c r="C39" s="86">
        <v>32000</v>
      </c>
      <c r="D39" s="91" t="s">
        <v>342</v>
      </c>
      <c r="E39" s="92" t="s">
        <v>343</v>
      </c>
      <c r="F39" s="89"/>
      <c r="G39" s="130" t="s">
        <v>366</v>
      </c>
    </row>
    <row r="40" spans="1:7" ht="28.15" thickBot="1">
      <c r="A40" s="180"/>
      <c r="B40" s="95">
        <v>21</v>
      </c>
      <c r="C40" s="96">
        <v>32000</v>
      </c>
      <c r="D40" s="97" t="s">
        <v>342</v>
      </c>
      <c r="E40" s="98" t="s">
        <v>343</v>
      </c>
      <c r="F40" s="99"/>
      <c r="G40" s="131" t="s">
        <v>367</v>
      </c>
    </row>
  </sheetData>
  <mergeCells count="6">
    <mergeCell ref="A35:A40"/>
    <mergeCell ref="A1:G1"/>
    <mergeCell ref="A3:A11"/>
    <mergeCell ref="A12:A19"/>
    <mergeCell ref="A20:A29"/>
    <mergeCell ref="A30:A3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87fdcdb-8e0a-4e09-8580-ba2085aae892" xsi:nil="true"/>
    <lcf76f155ced4ddcb4097134ff3c332f xmlns="950d6da2-343f-4d18-9423-1be27c015c0a">
      <Terms xmlns="http://schemas.microsoft.com/office/infopath/2007/PartnerControls"/>
    </lcf76f155ced4ddcb4097134ff3c332f>
    <ReviewedBy xmlns="950d6da2-343f-4d18-9423-1be27c015c0a">
      <UserInfo>
        <DisplayName/>
        <AccountId xsi:nil="true"/>
        <AccountType/>
      </UserInfo>
    </Review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533AFE9659FE54DB94FE8A3235E64ED" ma:contentTypeVersion="15" ma:contentTypeDescription="Create a new document." ma:contentTypeScope="" ma:versionID="b1cd6f076f165059e7a957564f6c4f85">
  <xsd:schema xmlns:xsd="http://www.w3.org/2001/XMLSchema" xmlns:xs="http://www.w3.org/2001/XMLSchema" xmlns:p="http://schemas.microsoft.com/office/2006/metadata/properties" xmlns:ns2="950d6da2-343f-4d18-9423-1be27c015c0a" xmlns:ns3="887fdcdb-8e0a-4e09-8580-ba2085aae892" targetNamespace="http://schemas.microsoft.com/office/2006/metadata/properties" ma:root="true" ma:fieldsID="8968a29bf3f1d8080f1f8c11146dddb5" ns2:_="" ns3:_="">
    <xsd:import namespace="950d6da2-343f-4d18-9423-1be27c015c0a"/>
    <xsd:import namespace="887fdcdb-8e0a-4e09-8580-ba2085aae8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ReviewedBy"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0d6da2-343f-4d18-9423-1be27c015c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bd017a-dd79-4046-b8dc-f4a07db8d6c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ReviewedBy" ma:index="20" nillable="true" ma:displayName="Reviewed By" ma:format="Dropdown" ma:list="UserInfo" ma:SharePointGroup="0" ma:internalNam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7fdcdb-8e0a-4e09-8580-ba2085aae8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0ae81f-ad09-467b-8068-215d262d9a09}" ma:internalName="TaxCatchAll" ma:showField="CatchAllData" ma:web="887fdcdb-8e0a-4e09-8580-ba2085aae8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88CF9D-4BF6-4E67-BF47-EA11CE533519}"/>
</file>

<file path=customXml/itemProps2.xml><?xml version="1.0" encoding="utf-8"?>
<ds:datastoreItem xmlns:ds="http://schemas.openxmlformats.org/officeDocument/2006/customXml" ds:itemID="{49C9D9F0-394D-47DE-BD97-09B6F6E2316C}"/>
</file>

<file path=customXml/itemProps3.xml><?xml version="1.0" encoding="utf-8"?>
<ds:datastoreItem xmlns:ds="http://schemas.openxmlformats.org/officeDocument/2006/customXml" ds:itemID="{48B758A4-F32A-49F6-B1FB-6C60BE106E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ERC IED GenCo</dc:creator>
  <cp:keywords/>
  <dc:description/>
  <cp:lastModifiedBy/>
  <cp:revision/>
  <dcterms:created xsi:type="dcterms:W3CDTF">2026-05-19T02:32:53Z</dcterms:created>
  <dcterms:modified xsi:type="dcterms:W3CDTF">2026-05-20T06:46:00Z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3044a-0371-4511-8b67-63d21f1a0073_Enabled">
    <vt:lpwstr>true</vt:lpwstr>
  </property>
  <property fmtid="{D5CDD505-2E9C-101B-9397-08002B2CF9AE}" pid="3" name="MSIP_Label_35e3044a-0371-4511-8b67-63d21f1a0073_SetDate">
    <vt:lpwstr>2026-05-19T02:42:47Z</vt:lpwstr>
  </property>
  <property fmtid="{D5CDD505-2E9C-101B-9397-08002B2CF9AE}" pid="4" name="MSIP_Label_35e3044a-0371-4511-8b67-63d21f1a0073_Method">
    <vt:lpwstr>Standard</vt:lpwstr>
  </property>
  <property fmtid="{D5CDD505-2E9C-101B-9397-08002B2CF9AE}" pid="5" name="MSIP_Label_35e3044a-0371-4511-8b67-63d21f1a0073_Name">
    <vt:lpwstr>Internal</vt:lpwstr>
  </property>
  <property fmtid="{D5CDD505-2E9C-101B-9397-08002B2CF9AE}" pid="6" name="MSIP_Label_35e3044a-0371-4511-8b67-63d21f1a0073_SiteId">
    <vt:lpwstr>34a3c75d-10fe-482b-9220-04df09540e89</vt:lpwstr>
  </property>
  <property fmtid="{D5CDD505-2E9C-101B-9397-08002B2CF9AE}" pid="7" name="MSIP_Label_35e3044a-0371-4511-8b67-63d21f1a0073_ActionId">
    <vt:lpwstr>8e17f95a-15eb-467f-af57-3fab196a28b2</vt:lpwstr>
  </property>
  <property fmtid="{D5CDD505-2E9C-101B-9397-08002B2CF9AE}" pid="8" name="MSIP_Label_35e3044a-0371-4511-8b67-63d21f1a0073_ContentBits">
    <vt:lpwstr>0</vt:lpwstr>
  </property>
  <property fmtid="{D5CDD505-2E9C-101B-9397-08002B2CF9AE}" pid="9" name="MSIP_Label_35e3044a-0371-4511-8b67-63d21f1a0073_Tag">
    <vt:lpwstr>10, 3, 0, 1</vt:lpwstr>
  </property>
  <property fmtid="{D5CDD505-2E9C-101B-9397-08002B2CF9AE}" pid="10" name="ContentTypeId">
    <vt:lpwstr>0x0101009533AFE9659FE54DB94FE8A3235E64ED</vt:lpwstr>
  </property>
  <property fmtid="{D5CDD505-2E9C-101B-9397-08002B2CF9AE}" pid="11" name="MediaServiceImageTags">
    <vt:lpwstr/>
  </property>
</Properties>
</file>